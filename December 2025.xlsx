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" sheetId="1" r:id="rId4"/>
    <sheet state="visible" name="Payable and recievable" sheetId="2" r:id="rId5"/>
    <sheet state="visible" name="Sales " sheetId="3" r:id="rId6"/>
    <sheet state="visible" name="Expense " sheetId="4" r:id="rId7"/>
    <sheet state="visible" name="Sheet5" sheetId="5" r:id="rId8"/>
  </sheets>
  <definedNames/>
  <calcPr/>
</workbook>
</file>

<file path=xl/sharedStrings.xml><?xml version="1.0" encoding="utf-8"?>
<sst xmlns="http://schemas.openxmlformats.org/spreadsheetml/2006/main" count="359" uniqueCount="232">
  <si>
    <t>Item</t>
  </si>
  <si>
    <t>Description</t>
  </si>
  <si>
    <t>Ime</t>
  </si>
  <si>
    <t>Purchased Price</t>
  </si>
  <si>
    <t>Person</t>
  </si>
  <si>
    <t>purchesed price</t>
  </si>
  <si>
    <t>iPhone 7 plus</t>
  </si>
  <si>
    <t>128/100</t>
  </si>
  <si>
    <t>iphone SE 3</t>
  </si>
  <si>
    <t>64/new blqck</t>
  </si>
  <si>
    <t>goye</t>
  </si>
  <si>
    <t>iphone 11 pro max</t>
  </si>
  <si>
    <t>256/98</t>
  </si>
  <si>
    <t>Neju</t>
  </si>
  <si>
    <t>iPhone 11 pro</t>
  </si>
  <si>
    <t>256/69</t>
  </si>
  <si>
    <t>iphone 12</t>
  </si>
  <si>
    <t>64/88</t>
  </si>
  <si>
    <t>35 377933 671760</t>
  </si>
  <si>
    <t>Goye</t>
  </si>
  <si>
    <t>iPhone 12 pro max</t>
  </si>
  <si>
    <t>256/86</t>
  </si>
  <si>
    <t>Yenus 53,000 in 65,009 out nov 4-2025</t>
  </si>
  <si>
    <t xml:space="preserve">iPhone 13 pro max </t>
  </si>
  <si>
    <t>Kal</t>
  </si>
  <si>
    <t xml:space="preserve">iPhone 14 </t>
  </si>
  <si>
    <t>128/86</t>
  </si>
  <si>
    <t>128/blue</t>
  </si>
  <si>
    <t>iPhone 14</t>
  </si>
  <si>
    <t>Iphone 14 plus</t>
  </si>
  <si>
    <t>128/78,blue,backcrack</t>
  </si>
  <si>
    <t>Hale</t>
  </si>
  <si>
    <t>iPhone 14 plus</t>
  </si>
  <si>
    <t xml:space="preserve">128/87 blue </t>
  </si>
  <si>
    <t>Mekdi</t>
  </si>
  <si>
    <t>iPhone 14 pro</t>
  </si>
  <si>
    <t>256/89</t>
  </si>
  <si>
    <t>iPhone 14 pro max</t>
  </si>
  <si>
    <t>256/100</t>
  </si>
  <si>
    <t>Husa 100,000 in 113,000 out 22 dec 2025</t>
  </si>
  <si>
    <t>128gb gold</t>
  </si>
  <si>
    <t xml:space="preserve">256 purple </t>
  </si>
  <si>
    <t>iPhone 15</t>
  </si>
  <si>
    <t>128/black</t>
  </si>
  <si>
    <t>128black</t>
  </si>
  <si>
    <t>iPhone 15 pro</t>
  </si>
  <si>
    <t>Yenus</t>
  </si>
  <si>
    <t>Iphone 15 pro max</t>
  </si>
  <si>
    <t>Demo,locked,natural</t>
  </si>
  <si>
    <t>iphone 15 pro max</t>
  </si>
  <si>
    <t>256/85 natural esim</t>
  </si>
  <si>
    <t>Sifen</t>
  </si>
  <si>
    <t>512/87 natural esim</t>
  </si>
  <si>
    <t>Smith</t>
  </si>
  <si>
    <t>256/89 blue esim</t>
  </si>
  <si>
    <t>256/89 blue</t>
  </si>
  <si>
    <t>256/87 esim blue</t>
  </si>
  <si>
    <t>iPhone 16</t>
  </si>
  <si>
    <t>128/100 green</t>
  </si>
  <si>
    <t>Iphone 16 pro</t>
  </si>
  <si>
    <t>Natural,locked</t>
  </si>
  <si>
    <t>iPhone 16 pro</t>
  </si>
  <si>
    <t>256/95</t>
  </si>
  <si>
    <t>Neju 123,000 in 135,000 our 9 nov 2025</t>
  </si>
  <si>
    <t xml:space="preserve">iPhone 16 pro max </t>
  </si>
  <si>
    <t xml:space="preserve">256/black 2cc </t>
  </si>
  <si>
    <t>Kalid 182,000 in 203,000 out nov 2-2025</t>
  </si>
  <si>
    <t>iphone 16 pro max</t>
  </si>
  <si>
    <t>1TB new</t>
  </si>
  <si>
    <t>256/68cc. Desert</t>
  </si>
  <si>
    <t>256/cc. Desert</t>
  </si>
  <si>
    <t xml:space="preserve">iphone 16 pro max </t>
  </si>
  <si>
    <t>256/91 desert E sim</t>
  </si>
  <si>
    <t>256/91. Desert e sim</t>
  </si>
  <si>
    <t>256/93 black</t>
  </si>
  <si>
    <t>512/100%</t>
  </si>
  <si>
    <t>256/99 black</t>
  </si>
  <si>
    <t>Neju 150,000 in 175,000 our 7 nov 2025</t>
  </si>
  <si>
    <t>iPhone 17 pro</t>
  </si>
  <si>
    <t>512/50cc</t>
  </si>
  <si>
    <t>256/orenge</t>
  </si>
  <si>
    <t>256/ blue</t>
  </si>
  <si>
    <t xml:space="preserve">iPhone 17 pro max </t>
  </si>
  <si>
    <t xml:space="preserve">256/silver </t>
  </si>
  <si>
    <t>Husa 135,000 in 170,000 our 12 nov 2025</t>
  </si>
  <si>
    <t xml:space="preserve">512/silver dual </t>
  </si>
  <si>
    <t>Husa 330,000 in 350,000 our 12 nov 2025</t>
  </si>
  <si>
    <t>256/esim</t>
  </si>
  <si>
    <t>Husa 115,000 in 142,000 our 12 nov 2025</t>
  </si>
  <si>
    <t>256/19cc blue</t>
  </si>
  <si>
    <t>Selam hidmona 200,000 in 263,000 out dec23 2025</t>
  </si>
  <si>
    <t>MacBook Air M3</t>
  </si>
  <si>
    <t>256/8. 55cc</t>
  </si>
  <si>
    <t>Alex eto 130,000 in 145,000 out 26 dec 2025</t>
  </si>
  <si>
    <t>MacBook Pro m4</t>
  </si>
  <si>
    <t>1tb/24</t>
  </si>
  <si>
    <t>iPad M4</t>
  </si>
  <si>
    <t>256/13 inch</t>
  </si>
  <si>
    <t>Galaxy fold 7</t>
  </si>
  <si>
    <t>256/12 black</t>
  </si>
  <si>
    <t>Husa 150,000 in 218,000 out 20 nov 2025</t>
  </si>
  <si>
    <t>samsun a04e</t>
  </si>
  <si>
    <t>32/3</t>
  </si>
  <si>
    <t>mekdi</t>
  </si>
  <si>
    <t>Samsung S23</t>
  </si>
  <si>
    <t>128/8</t>
  </si>
  <si>
    <t xml:space="preserve">Samsung s24 ultra </t>
  </si>
  <si>
    <t>256/12</t>
  </si>
  <si>
    <t>Selam hidmon 95,000 in 110,000 out 24 dec 2025</t>
  </si>
  <si>
    <t>Samsung S25 Ultra</t>
  </si>
  <si>
    <t>512/12</t>
  </si>
  <si>
    <t>Abdi hidmona147,000 in 175,000 out 1 nov 2025</t>
  </si>
  <si>
    <t xml:space="preserve">256gb silver </t>
  </si>
  <si>
    <t>Husa 130,000 in 155,000 our 12 nov 2025</t>
  </si>
  <si>
    <t>Samsung Tab S9 plus FE</t>
  </si>
  <si>
    <t>256/12,black</t>
  </si>
  <si>
    <t>Husa 53,000 in 70,000 out 20 nov 2025</t>
  </si>
  <si>
    <t>Galaxy Tab S6 lite</t>
  </si>
  <si>
    <t>64/4</t>
  </si>
  <si>
    <t>Yenus 25,000 in 38,000 out 4 nov 2025</t>
  </si>
  <si>
    <t>Husa 25,000 in 50,000 our 9 nov 2025</t>
  </si>
  <si>
    <t>Fani 20000 in 45,000 out of 25 dec 2025</t>
  </si>
  <si>
    <t>Galaxy Tab A9+</t>
  </si>
  <si>
    <t>128/6 black</t>
  </si>
  <si>
    <t>Husa 2000 in 30000 out</t>
  </si>
  <si>
    <t>Appple pen pro</t>
  </si>
  <si>
    <t>Husa 20,000 in 28,000 our 10 nov 2025</t>
  </si>
  <si>
    <t xml:space="preserve">Magic Keyboard </t>
  </si>
  <si>
    <t xml:space="preserve">Apple Watch S10 </t>
  </si>
  <si>
    <t xml:space="preserve">45mm black </t>
  </si>
  <si>
    <t>apple watch ultra2 black</t>
  </si>
  <si>
    <t>49MM BLCK</t>
  </si>
  <si>
    <t xml:space="preserve">Nintendo </t>
  </si>
  <si>
    <t>Switch 2</t>
  </si>
  <si>
    <t xml:space="preserve">Ps 5 joystick charger station </t>
  </si>
  <si>
    <t xml:space="preserve">Charger </t>
  </si>
  <si>
    <t xml:space="preserve">PS 5 joystick </t>
  </si>
  <si>
    <t xml:space="preserve">joystick </t>
  </si>
  <si>
    <t>joystick</t>
  </si>
  <si>
    <t>Stock</t>
  </si>
  <si>
    <t>Recievable</t>
  </si>
  <si>
    <t>Payable</t>
  </si>
  <si>
    <t>Asset</t>
  </si>
  <si>
    <t>Cash on hand</t>
  </si>
  <si>
    <t>Capital</t>
  </si>
  <si>
    <t>Loss</t>
  </si>
  <si>
    <t>Fira and dagi and 17pm</t>
  </si>
  <si>
    <t>80,000 AND 95000 and 215000</t>
  </si>
  <si>
    <t xml:space="preserve">receivables </t>
  </si>
  <si>
    <t>ebro</t>
  </si>
  <si>
    <t>halle</t>
  </si>
  <si>
    <t>amir</t>
  </si>
  <si>
    <t xml:space="preserve">natty </t>
  </si>
  <si>
    <t xml:space="preserve">faysel </t>
  </si>
  <si>
    <t>mejid</t>
  </si>
  <si>
    <t xml:space="preserve">Yunus </t>
  </si>
  <si>
    <t>goya</t>
  </si>
  <si>
    <t>Fuad</t>
  </si>
  <si>
    <t>Dagi cus</t>
  </si>
  <si>
    <t xml:space="preserve">Selam hidmon </t>
  </si>
  <si>
    <t>sum</t>
  </si>
  <si>
    <t xml:space="preserve">total </t>
  </si>
  <si>
    <t xml:space="preserve">payable </t>
  </si>
  <si>
    <t>kal</t>
  </si>
  <si>
    <t xml:space="preserve">Tomi </t>
  </si>
  <si>
    <t>No</t>
  </si>
  <si>
    <t>Date</t>
  </si>
  <si>
    <t>Ser.NO</t>
  </si>
  <si>
    <t xml:space="preserve">purchased amounts </t>
  </si>
  <si>
    <t>sales amount</t>
  </si>
  <si>
    <t>Sales Person</t>
  </si>
  <si>
    <t>Vender</t>
  </si>
  <si>
    <t>Profit</t>
  </si>
  <si>
    <t>Maintenance</t>
  </si>
  <si>
    <t>Remark</t>
  </si>
  <si>
    <t>Samsung S25 Ultra 512</t>
  </si>
  <si>
    <t>Abdi hidmona</t>
  </si>
  <si>
    <t xml:space="preserve">Stock </t>
  </si>
  <si>
    <t>Kalid</t>
  </si>
  <si>
    <t>Anker power bank</t>
  </si>
  <si>
    <t>Husa</t>
  </si>
  <si>
    <t xml:space="preserve">iPhone 12 pro max </t>
  </si>
  <si>
    <t>Yenusa</t>
  </si>
  <si>
    <t>Tab s6 lite</t>
  </si>
  <si>
    <t>iPhone 16 pro max</t>
  </si>
  <si>
    <t>Total Daily Sales</t>
  </si>
  <si>
    <t xml:space="preserve">Tab s6 lite </t>
  </si>
  <si>
    <t>Apple Watch s10</t>
  </si>
  <si>
    <t>Meles</t>
  </si>
  <si>
    <t>Apple pen pro</t>
  </si>
  <si>
    <t>Husni</t>
  </si>
  <si>
    <t>iPhone 17 pro max</t>
  </si>
  <si>
    <t xml:space="preserve">Samsung s25 ultra </t>
  </si>
  <si>
    <t>Samsung M16</t>
  </si>
  <si>
    <t>Rovi</t>
  </si>
  <si>
    <t>-</t>
  </si>
  <si>
    <t xml:space="preserve">Samsung S25 Ultra </t>
  </si>
  <si>
    <t>Bini</t>
  </si>
  <si>
    <t xml:space="preserve">122000 dagi remaining </t>
  </si>
  <si>
    <t>Ufc 5</t>
  </si>
  <si>
    <t xml:space="preserve">Husa </t>
  </si>
  <si>
    <t>Samsung Tab S9FE +</t>
  </si>
  <si>
    <t>Fold 7</t>
  </si>
  <si>
    <t>Selam hidmon</t>
  </si>
  <si>
    <t>Samsung S24ultra</t>
  </si>
  <si>
    <t>Samsung s25</t>
  </si>
  <si>
    <t>Samsung tab S6lite</t>
  </si>
  <si>
    <t>Fani</t>
  </si>
  <si>
    <t>MacBook Air m3</t>
  </si>
  <si>
    <t>Alex eto</t>
  </si>
  <si>
    <t>iPhone 13</t>
  </si>
  <si>
    <t>Hani dagi</t>
  </si>
  <si>
    <t>Summery</t>
  </si>
  <si>
    <t>Total Sales</t>
  </si>
  <si>
    <t>Total Purchase</t>
  </si>
  <si>
    <t>Profit before Expensess</t>
  </si>
  <si>
    <t>Expenses</t>
  </si>
  <si>
    <t>Monthly Profit</t>
  </si>
  <si>
    <t>DATE</t>
  </si>
  <si>
    <t>REASON</t>
  </si>
  <si>
    <t>AMOUNT</t>
  </si>
  <si>
    <t>ride</t>
  </si>
  <si>
    <t>food</t>
  </si>
  <si>
    <t>Weekly Profit</t>
  </si>
  <si>
    <t xml:space="preserve">BANKS </t>
  </si>
  <si>
    <t xml:space="preserve">BALANCE </t>
  </si>
  <si>
    <t>CBE</t>
  </si>
  <si>
    <t>BOA</t>
  </si>
  <si>
    <t>AWASH</t>
  </si>
  <si>
    <t>TeleBirr</t>
  </si>
  <si>
    <t>ZEMEN</t>
  </si>
  <si>
    <t xml:space="preserve">sum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</si>
</sst>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color rgb="FFFFFFFF"/>
      <name val="Arial"/>
      <scheme val="minor"/>
    </font>
    <font/>
    <font>
      <b/>
      <color theme="1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u/>
      <sz val="12.0"/>
      <color rgb="FF000000"/>
      <name val="Calibri"/>
    </font>
    <font>
      <color rgb="FF000000"/>
      <name val="Arial"/>
    </font>
    <font>
      <b/>
      <sz val="12.0"/>
      <color rgb="FFFFFFFF"/>
      <name val="Calibri"/>
    </font>
    <font>
      <b/>
      <sz val="14.0"/>
      <color rgb="FF000000"/>
      <name val="Calibri"/>
    </font>
    <font>
      <b/>
      <sz val="14.0"/>
      <color rgb="FF274E13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808080"/>
        <bgColor rgb="FF808080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548235"/>
        <bgColor rgb="FF548235"/>
      </patternFill>
    </fill>
    <fill>
      <patternFill patternType="solid">
        <fgColor rgb="FF70AD47"/>
        <bgColor rgb="FF70AD47"/>
      </patternFill>
    </fill>
    <fill>
      <patternFill patternType="solid">
        <fgColor rgb="FFC189F7"/>
        <bgColor rgb="FFC189F7"/>
      </patternFill>
    </fill>
    <fill>
      <patternFill patternType="solid">
        <fgColor rgb="FF4A86E8"/>
        <bgColor rgb="FF4A86E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3" xfId="0" applyAlignment="1" applyBorder="1" applyFont="1" applyNumberFormat="1">
      <alignment horizontal="right"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horizontal="right" readingOrder="0" shrinkToFit="0" vertical="bottom" wrapText="0"/>
    </xf>
    <xf borderId="1" fillId="2" fontId="1" numFmtId="3" xfId="0" applyAlignment="1" applyBorder="1" applyFont="1" applyNumberFormat="1">
      <alignment horizontal="right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readingOrder="0"/>
    </xf>
    <xf borderId="0" fillId="2" fontId="2" numFmtId="0" xfId="0" applyFont="1"/>
    <xf borderId="1" fillId="3" fontId="3" numFmtId="0" xfId="0" applyAlignment="1" applyBorder="1" applyFill="1" applyFont="1">
      <alignment readingOrder="0" vertical="bottom"/>
    </xf>
    <xf borderId="1" fillId="3" fontId="3" numFmtId="0" xfId="0" applyAlignment="1" applyBorder="1" applyFont="1">
      <alignment horizontal="right" readingOrder="0" vertical="bottom"/>
    </xf>
    <xf borderId="1" fillId="3" fontId="4" numFmtId="3" xfId="0" applyAlignment="1" applyBorder="1" applyFont="1" applyNumberFormat="1">
      <alignment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readingOrder="0" vertical="bottom"/>
    </xf>
    <xf borderId="0" fillId="3" fontId="4" numFmtId="0" xfId="0" applyAlignment="1" applyFont="1">
      <alignment vertical="bottom"/>
    </xf>
    <xf borderId="0" fillId="3" fontId="2" numFmtId="0" xfId="0" applyFont="1"/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3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1" fillId="2" fontId="2" numFmtId="0" xfId="0" applyBorder="1" applyFont="1"/>
    <xf borderId="1" fillId="0" fontId="2" numFmtId="0" xfId="0" applyBorder="1" applyFont="1"/>
    <xf borderId="1" fillId="3" fontId="1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horizontal="right" readingOrder="0" shrinkToFit="0" vertical="bottom" wrapText="0"/>
    </xf>
    <xf borderId="1" fillId="3" fontId="1" numFmtId="3" xfId="0" applyAlignment="1" applyBorder="1" applyFont="1" applyNumberFormat="1">
      <alignment horizontal="right" readingOrder="0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1" fillId="3" fontId="2" numFmtId="0" xfId="0" applyBorder="1" applyFont="1"/>
    <xf borderId="1" fillId="0" fontId="1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readingOrder="0"/>
    </xf>
    <xf borderId="1" fillId="3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horizontal="right" readingOrder="0" shrinkToFit="0" vertical="bottom" wrapText="0"/>
    </xf>
    <xf borderId="1" fillId="3" fontId="3" numFmtId="3" xfId="0" applyAlignment="1" applyBorder="1" applyFont="1" applyNumberFormat="1">
      <alignment horizontal="right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3" fontId="2" numFmtId="3" xfId="0" applyAlignment="1" applyBorder="1" applyFont="1" applyNumberFormat="1">
      <alignment readingOrder="0"/>
    </xf>
    <xf borderId="1" fillId="3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readingOrder="0"/>
    </xf>
    <xf borderId="0" fillId="4" fontId="2" numFmtId="3" xfId="0" applyFont="1" applyNumberFormat="1"/>
    <xf borderId="0" fillId="0" fontId="2" numFmtId="3" xfId="0" applyAlignment="1" applyFont="1" applyNumberFormat="1">
      <alignment readingOrder="0"/>
    </xf>
    <xf borderId="1" fillId="5" fontId="1" numFmtId="0" xfId="0" applyAlignment="1" applyBorder="1" applyFill="1" applyFont="1">
      <alignment readingOrder="0" shrinkToFit="0" vertical="bottom" wrapText="0"/>
    </xf>
    <xf borderId="2" fillId="5" fontId="1" numFmtId="0" xfId="0" applyAlignment="1" applyBorder="1" applyFont="1">
      <alignment shrinkToFit="0" vertical="bottom" wrapText="0"/>
    </xf>
    <xf borderId="2" fillId="5" fontId="1" numFmtId="3" xfId="0" applyAlignment="1" applyBorder="1" applyFont="1" applyNumberFormat="1">
      <alignment horizontal="right" readingOrder="0" shrinkToFit="0" vertical="bottom" wrapText="0"/>
    </xf>
    <xf borderId="0" fillId="5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0" fontId="1" numFmtId="3" xfId="0" applyAlignment="1" applyBorder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4" fontId="1" numFmtId="0" xfId="0" applyAlignment="1" applyFont="1">
      <alignment shrinkToFit="0" vertical="bottom" wrapText="0"/>
    </xf>
    <xf borderId="0" fillId="4" fontId="1" numFmtId="3" xfId="0" applyAlignment="1" applyFont="1" applyNumberFormat="1">
      <alignment horizontal="right" readingOrder="0" shrinkToFit="0" vertical="bottom" wrapText="0"/>
    </xf>
    <xf borderId="5" fillId="6" fontId="5" numFmtId="0" xfId="0" applyAlignment="1" applyBorder="1" applyFill="1" applyFont="1">
      <alignment readingOrder="0"/>
    </xf>
    <xf borderId="2" fillId="0" fontId="6" numFmtId="0" xfId="0" applyBorder="1" applyFont="1"/>
    <xf borderId="5" fillId="6" fontId="5" numFmtId="0" xfId="0" applyAlignment="1" applyBorder="1" applyFont="1">
      <alignment horizontal="center" readingOrder="0"/>
    </xf>
    <xf borderId="0" fillId="0" fontId="7" numFmtId="0" xfId="0" applyFont="1"/>
    <xf borderId="0" fillId="6" fontId="5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7" fontId="8" numFmtId="0" xfId="0" applyAlignment="1" applyBorder="1" applyFill="1" applyFont="1">
      <alignment readingOrder="0" shrinkToFit="0" vertical="bottom" wrapText="0"/>
    </xf>
    <xf borderId="2" fillId="7" fontId="9" numFmtId="0" xfId="0" applyAlignment="1" applyBorder="1" applyFont="1">
      <alignment horizontal="left" readingOrder="0" shrinkToFit="0" vertical="bottom" wrapText="0"/>
    </xf>
    <xf borderId="2" fillId="7" fontId="8" numFmtId="0" xfId="0" applyAlignment="1" applyBorder="1" applyFont="1">
      <alignment readingOrder="0" shrinkToFit="0" vertical="bottom" wrapText="0"/>
    </xf>
    <xf borderId="2" fillId="7" fontId="10" numFmtId="0" xfId="0" applyAlignment="1" applyBorder="1" applyFont="1">
      <alignment readingOrder="0" shrinkToFit="0" vertical="bottom" wrapText="0"/>
    </xf>
    <xf borderId="2" fillId="7" fontId="8" numFmtId="0" xfId="0" applyAlignment="1" applyBorder="1" applyFont="1">
      <alignment horizontal="center" readingOrder="0" shrinkToFit="0" vertical="bottom" wrapText="0"/>
    </xf>
    <xf borderId="2" fillId="3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3" fillId="0" fontId="8" numFmtId="0" xfId="0" applyAlignment="1" applyBorder="1" applyFont="1">
      <alignment shrinkToFit="0" vertical="bottom" wrapText="0"/>
    </xf>
    <xf borderId="4" fillId="0" fontId="8" numFmtId="164" xfId="0" applyAlignment="1" applyBorder="1" applyFont="1" applyNumberFormat="1">
      <alignment horizontal="left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right" readingOrder="0" vertical="bottom"/>
    </xf>
    <xf borderId="1" fillId="0" fontId="8" numFmtId="3" xfId="0" applyAlignment="1" applyBorder="1" applyFont="1" applyNumberFormat="1">
      <alignment readingOrder="0" shrinkToFit="0" vertical="bottom" wrapText="0"/>
    </xf>
    <xf borderId="4" fillId="0" fontId="8" numFmtId="3" xfId="0" applyAlignment="1" applyBorder="1" applyFont="1" applyNumberFormat="1">
      <alignment readingOrder="0"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3" fillId="8" fontId="8" numFmtId="0" xfId="0" applyAlignment="1" applyBorder="1" applyFill="1" applyFont="1">
      <alignment shrinkToFit="0" vertical="bottom" wrapText="0"/>
    </xf>
    <xf borderId="4" fillId="0" fontId="9" numFmtId="0" xfId="0" applyAlignment="1" applyBorder="1" applyFont="1">
      <alignment horizontal="left" readingOrder="0" shrinkToFit="0" vertical="bottom" wrapText="0"/>
    </xf>
    <xf borderId="1" fillId="9" fontId="8" numFmtId="0" xfId="0" applyAlignment="1" applyBorder="1" applyFill="1" applyFont="1">
      <alignment readingOrder="0" shrinkToFit="0" vertical="bottom" wrapText="0"/>
    </xf>
    <xf borderId="1" fillId="9" fontId="8" numFmtId="0" xfId="0" applyAlignment="1" applyBorder="1" applyFont="1">
      <alignment horizontal="right" shrinkToFit="0" vertical="bottom" wrapText="0"/>
    </xf>
    <xf borderId="1" fillId="9" fontId="9" numFmtId="4" xfId="0" applyAlignment="1" applyBorder="1" applyFont="1" applyNumberFormat="1">
      <alignment readingOrder="0" shrinkToFit="0" vertical="bottom" wrapText="0"/>
    </xf>
    <xf borderId="4" fillId="9" fontId="9" numFmtId="4" xfId="0" applyAlignment="1" applyBorder="1" applyFont="1" applyNumberFormat="1">
      <alignment readingOrder="0" shrinkToFit="0" vertical="bottom" wrapText="0"/>
    </xf>
    <xf borderId="4" fillId="9" fontId="8" numFmtId="0" xfId="0" applyAlignment="1" applyBorder="1" applyFont="1">
      <alignment shrinkToFit="0" vertical="bottom" wrapText="0"/>
    </xf>
    <xf borderId="4" fillId="10" fontId="12" numFmtId="3" xfId="0" applyAlignment="1" applyBorder="1" applyFill="1" applyFont="1" applyNumberFormat="1">
      <alignment readingOrder="0" shrinkToFit="0" vertical="bottom" wrapText="0"/>
    </xf>
    <xf borderId="1" fillId="0" fontId="8" numFmtId="0" xfId="0" applyAlignment="1" applyBorder="1" applyFont="1">
      <alignment horizontal="right" readingOrder="0" vertical="bottom"/>
    </xf>
    <xf borderId="6" fillId="0" fontId="8" numFmtId="0" xfId="0" applyAlignment="1" applyBorder="1" applyFont="1">
      <alignment horizontal="center" readingOrder="0"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3" fillId="0" fontId="8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right" vertical="bottom"/>
    </xf>
    <xf borderId="1" fillId="9" fontId="8" numFmtId="0" xfId="0" applyAlignment="1" applyBorder="1" applyFont="1">
      <alignment shrinkToFit="0" vertical="bottom" wrapText="0"/>
    </xf>
    <xf borderId="4" fillId="9" fontId="8" numFmtId="0" xfId="0" applyAlignment="1" applyBorder="1" applyFont="1">
      <alignment readingOrder="0" shrinkToFit="0" vertical="bottom" wrapText="0"/>
    </xf>
    <xf borderId="4" fillId="10" fontId="9" numFmtId="3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9" fontId="8" numFmtId="0" xfId="0" applyAlignment="1" applyBorder="1" applyFont="1">
      <alignment horizontal="left" shrinkToFit="0" vertical="bottom" wrapText="0"/>
    </xf>
    <xf borderId="4" fillId="9" fontId="9" numFmtId="3" xfId="0" applyAlignment="1" applyBorder="1" applyFont="1" applyNumberFormat="1">
      <alignment readingOrder="0" shrinkToFit="0" vertical="bottom" wrapText="0"/>
    </xf>
    <xf borderId="1" fillId="0" fontId="11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4" fillId="11" fontId="9" numFmtId="3" xfId="0" applyAlignment="1" applyBorder="1" applyFill="1" applyFont="1" applyNumberFormat="1">
      <alignment readingOrder="0" shrinkToFit="0" vertical="bottom" wrapText="0"/>
    </xf>
    <xf borderId="1" fillId="5" fontId="8" numFmtId="0" xfId="0" applyAlignment="1" applyBorder="1" applyFont="1">
      <alignment readingOrder="0" shrinkToFit="0" vertical="bottom" wrapText="0"/>
    </xf>
    <xf borderId="4" fillId="5" fontId="8" numFmtId="0" xfId="0" applyAlignment="1" applyBorder="1" applyFont="1">
      <alignment readingOrder="0" shrinkToFit="0" vertical="bottom" wrapText="0"/>
    </xf>
    <xf borderId="4" fillId="5" fontId="8" numFmtId="0" xfId="0" applyAlignment="1" applyBorder="1" applyFont="1">
      <alignment shrinkToFit="0" vertical="bottom" wrapText="0"/>
    </xf>
    <xf borderId="1" fillId="5" fontId="8" numFmtId="3" xfId="0" applyAlignment="1" applyBorder="1" applyFont="1" applyNumberFormat="1">
      <alignment readingOrder="0" shrinkToFit="0" vertical="bottom" wrapText="0"/>
    </xf>
    <xf borderId="4" fillId="0" fontId="8" numFmtId="0" xfId="0" applyAlignment="1" applyBorder="1" applyFont="1">
      <alignment horizontal="left" shrinkToFit="0" vertical="bottom" wrapText="0"/>
    </xf>
    <xf borderId="1" fillId="5" fontId="8" numFmtId="0" xfId="0" applyAlignment="1" applyBorder="1" applyFont="1">
      <alignment shrinkToFit="0" vertical="bottom" wrapText="0"/>
    </xf>
    <xf borderId="4" fillId="5" fontId="8" numFmtId="0" xfId="0" applyAlignment="1" applyBorder="1" applyFont="1">
      <alignment horizontal="right" shrinkToFit="0" vertical="bottom" wrapText="0"/>
    </xf>
    <xf borderId="4" fillId="9" fontId="8" numFmtId="0" xfId="0" applyAlignment="1" applyBorder="1" applyFont="1">
      <alignment horizontal="left" shrinkToFit="0" vertical="bottom" wrapText="0"/>
    </xf>
    <xf borderId="4" fillId="11" fontId="9" numFmtId="0" xfId="0" applyAlignment="1" applyBorder="1" applyFont="1">
      <alignment readingOrder="0" shrinkToFit="0" vertical="bottom" wrapText="0"/>
    </xf>
    <xf borderId="7" fillId="0" fontId="8" numFmtId="0" xfId="0" applyAlignment="1" applyBorder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5" fillId="9" fontId="13" numFmtId="0" xfId="0" applyAlignment="1" applyBorder="1" applyFont="1">
      <alignment horizontal="center" readingOrder="0" vertical="bottom"/>
    </xf>
    <xf borderId="2" fillId="0" fontId="6" numFmtId="0" xfId="0" applyBorder="1" applyFont="1"/>
    <xf borderId="3" fillId="0" fontId="8" numFmtId="0" xfId="0" applyAlignment="1" applyBorder="1" applyFont="1">
      <alignment readingOrder="0" shrinkToFit="0" vertical="bottom" wrapText="0"/>
    </xf>
    <xf borderId="4" fillId="0" fontId="8" numFmtId="4" xfId="0" applyAlignment="1" applyBorder="1" applyFont="1" applyNumberFormat="1">
      <alignment readingOrder="0" shrinkToFit="0" vertical="bottom" wrapText="0"/>
    </xf>
    <xf borderId="3" fillId="0" fontId="8" numFmtId="0" xfId="0" applyAlignment="1" applyBorder="1" applyFont="1">
      <alignment readingOrder="0" vertical="bottom"/>
    </xf>
    <xf borderId="4" fillId="12" fontId="8" numFmtId="4" xfId="0" applyAlignment="1" applyBorder="1" applyFill="1" applyFont="1" applyNumberFormat="1">
      <alignment readingOrder="0" shrinkToFit="0" vertical="bottom" wrapText="0"/>
    </xf>
    <xf borderId="1" fillId="9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13" fontId="5" numFmtId="0" xfId="0" applyAlignment="1" applyBorder="1" applyFill="1" applyFont="1">
      <alignment readingOrder="0"/>
    </xf>
    <xf borderId="1" fillId="13" fontId="5" numFmtId="0" xfId="0" applyAlignment="1" applyBorder="1" applyFont="1">
      <alignment horizontal="left"/>
    </xf>
    <xf borderId="1" fillId="13" fontId="5" numFmtId="0" xfId="0" applyAlignment="1" applyBorder="1" applyFont="1">
      <alignment horizontal="left"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er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63"/>
    <col customWidth="1" min="3" max="3" width="17.75"/>
    <col customWidth="1" min="4" max="4" width="17.25"/>
    <col customWidth="1" min="5" max="5" width="38.63"/>
    <col customWidth="1" min="6" max="6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1" t="s">
        <v>6</v>
      </c>
      <c r="B2" s="1" t="s">
        <v>7</v>
      </c>
      <c r="C2" s="4"/>
      <c r="D2" s="5">
        <v>8000.0</v>
      </c>
      <c r="E2" s="2"/>
      <c r="F2" s="3"/>
    </row>
    <row r="3">
      <c r="A3" s="1" t="s">
        <v>8</v>
      </c>
      <c r="B3" s="1" t="s">
        <v>9</v>
      </c>
      <c r="C3" s="4">
        <v>3.54140914142472E14</v>
      </c>
      <c r="D3" s="5">
        <v>17000.0</v>
      </c>
      <c r="E3" s="2"/>
      <c r="F3" s="3" t="s">
        <v>10</v>
      </c>
    </row>
    <row r="4">
      <c r="A4" s="1" t="s">
        <v>11</v>
      </c>
      <c r="B4" s="1" t="s">
        <v>12</v>
      </c>
      <c r="C4" s="4">
        <v>3.53910109361132E14</v>
      </c>
      <c r="D4" s="5">
        <v>35000.0</v>
      </c>
      <c r="E4" s="2" t="s">
        <v>13</v>
      </c>
      <c r="F4" s="3"/>
    </row>
    <row r="5">
      <c r="A5" s="1" t="s">
        <v>14</v>
      </c>
      <c r="B5" s="1" t="s">
        <v>15</v>
      </c>
      <c r="C5" s="4"/>
      <c r="D5" s="5">
        <v>30000.0</v>
      </c>
      <c r="E5" s="2"/>
      <c r="F5" s="3"/>
    </row>
    <row r="6">
      <c r="A6" s="6" t="s">
        <v>16</v>
      </c>
      <c r="B6" s="6" t="s">
        <v>17</v>
      </c>
      <c r="C6" s="7" t="s">
        <v>18</v>
      </c>
      <c r="D6" s="8">
        <v>30000.0</v>
      </c>
      <c r="E6" s="9"/>
      <c r="F6" s="10" t="s">
        <v>19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20</v>
      </c>
      <c r="B7" s="12" t="s">
        <v>21</v>
      </c>
      <c r="C7" s="13"/>
      <c r="D7" s="14"/>
      <c r="E7" s="15" t="s">
        <v>22</v>
      </c>
      <c r="F7" s="16"/>
      <c r="G7" s="17"/>
      <c r="H7" s="17"/>
      <c r="I7" s="17"/>
      <c r="J7" s="17"/>
      <c r="K7" s="17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">
        <v>23</v>
      </c>
      <c r="B8" s="19">
        <v>128.0</v>
      </c>
      <c r="C8" s="20"/>
      <c r="D8" s="21">
        <v>79000.0</v>
      </c>
      <c r="E8" s="22" t="s">
        <v>24</v>
      </c>
      <c r="F8" s="23"/>
      <c r="G8" s="24"/>
      <c r="H8" s="24"/>
      <c r="I8" s="24"/>
      <c r="J8" s="24"/>
      <c r="K8" s="24"/>
    </row>
    <row r="9">
      <c r="A9" s="19" t="s">
        <v>23</v>
      </c>
      <c r="B9" s="19">
        <v>128.0</v>
      </c>
      <c r="C9" s="20"/>
      <c r="D9" s="21">
        <v>75000.0</v>
      </c>
      <c r="E9" s="22"/>
      <c r="F9" s="23"/>
      <c r="G9" s="24"/>
      <c r="H9" s="24"/>
      <c r="I9" s="24"/>
      <c r="J9" s="24"/>
      <c r="K9" s="24"/>
    </row>
    <row r="10">
      <c r="A10" s="19" t="s">
        <v>25</v>
      </c>
      <c r="B10" s="19" t="s">
        <v>26</v>
      </c>
      <c r="C10" s="20"/>
      <c r="D10" s="21">
        <v>55000.0</v>
      </c>
      <c r="E10" s="22"/>
      <c r="F10" s="23"/>
      <c r="G10" s="24"/>
      <c r="H10" s="24"/>
      <c r="I10" s="24"/>
      <c r="J10" s="24"/>
      <c r="K10" s="24"/>
    </row>
    <row r="11">
      <c r="A11" s="19" t="s">
        <v>25</v>
      </c>
      <c r="B11" s="19" t="s">
        <v>27</v>
      </c>
      <c r="C11" s="20"/>
      <c r="D11" s="21">
        <v>50000.0</v>
      </c>
      <c r="E11" s="22"/>
      <c r="F11" s="23"/>
      <c r="G11" s="24"/>
      <c r="H11" s="24"/>
      <c r="I11" s="24"/>
      <c r="J11" s="24"/>
      <c r="K11" s="24"/>
    </row>
    <row r="12">
      <c r="A12" s="19" t="s">
        <v>28</v>
      </c>
      <c r="B12" s="19" t="s">
        <v>27</v>
      </c>
      <c r="C12" s="20"/>
      <c r="D12" s="21">
        <v>50000.0</v>
      </c>
      <c r="E12" s="22"/>
      <c r="F12" s="23"/>
      <c r="G12" s="24"/>
      <c r="H12" s="24"/>
      <c r="I12" s="24"/>
      <c r="J12" s="24"/>
      <c r="K12" s="24"/>
    </row>
    <row r="13">
      <c r="A13" s="6" t="s">
        <v>29</v>
      </c>
      <c r="B13" s="6" t="s">
        <v>30</v>
      </c>
      <c r="C13" s="6">
        <v>3.52820543614718E14</v>
      </c>
      <c r="D13" s="8">
        <v>37000.0</v>
      </c>
      <c r="E13" s="9" t="s">
        <v>31</v>
      </c>
      <c r="F13" s="2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" t="s">
        <v>32</v>
      </c>
      <c r="B14" s="1" t="s">
        <v>33</v>
      </c>
      <c r="C14" s="4"/>
      <c r="D14" s="5">
        <v>60000.0</v>
      </c>
      <c r="E14" s="2" t="s">
        <v>34</v>
      </c>
      <c r="F14" s="26"/>
    </row>
    <row r="15">
      <c r="A15" s="1" t="s">
        <v>35</v>
      </c>
      <c r="B15" s="1" t="s">
        <v>36</v>
      </c>
      <c r="C15" s="4"/>
      <c r="D15" s="5">
        <v>65000.0</v>
      </c>
      <c r="E15" s="2" t="s">
        <v>24</v>
      </c>
      <c r="F15" s="26"/>
    </row>
    <row r="16">
      <c r="A16" s="27" t="s">
        <v>37</v>
      </c>
      <c r="B16" s="27" t="s">
        <v>38</v>
      </c>
      <c r="C16" s="28"/>
      <c r="D16" s="29">
        <v>100000.0</v>
      </c>
      <c r="E16" s="30" t="s">
        <v>39</v>
      </c>
      <c r="F16" s="31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" t="s">
        <v>37</v>
      </c>
      <c r="B17" s="1" t="s">
        <v>40</v>
      </c>
      <c r="C17" s="4"/>
      <c r="D17" s="5">
        <v>85000.0</v>
      </c>
      <c r="E17" s="2"/>
      <c r="F17" s="26"/>
    </row>
    <row r="18">
      <c r="A18" s="1" t="s">
        <v>37</v>
      </c>
      <c r="B18" s="1" t="s">
        <v>41</v>
      </c>
      <c r="C18" s="4"/>
      <c r="D18" s="5">
        <v>85000.0</v>
      </c>
      <c r="E18" s="2"/>
      <c r="F18" s="26"/>
    </row>
    <row r="19">
      <c r="A19" s="1" t="s">
        <v>42</v>
      </c>
      <c r="B19" s="1" t="s">
        <v>43</v>
      </c>
      <c r="C19" s="4"/>
      <c r="D19" s="5">
        <v>60000.0</v>
      </c>
      <c r="E19" s="2"/>
      <c r="F19" s="26"/>
    </row>
    <row r="20">
      <c r="A20" s="1" t="s">
        <v>42</v>
      </c>
      <c r="B20" s="1" t="s">
        <v>44</v>
      </c>
      <c r="C20" s="4"/>
      <c r="D20" s="5">
        <v>62500.0</v>
      </c>
      <c r="E20" s="2"/>
      <c r="F20" s="26"/>
    </row>
    <row r="21">
      <c r="A21" s="1" t="s">
        <v>45</v>
      </c>
      <c r="B21" s="1" t="s">
        <v>26</v>
      </c>
      <c r="C21" s="4"/>
      <c r="D21" s="5">
        <v>85000.0</v>
      </c>
      <c r="E21" s="2" t="s">
        <v>46</v>
      </c>
      <c r="F21" s="26"/>
    </row>
    <row r="22">
      <c r="A22" s="1" t="s">
        <v>47</v>
      </c>
      <c r="B22" s="1" t="s">
        <v>48</v>
      </c>
      <c r="C22" s="4">
        <v>3.59897654249883E14</v>
      </c>
      <c r="D22" s="5">
        <v>40000.0</v>
      </c>
      <c r="E22" s="2"/>
      <c r="F22" s="26"/>
    </row>
    <row r="23">
      <c r="A23" s="1" t="s">
        <v>49</v>
      </c>
      <c r="B23" s="1" t="s">
        <v>50</v>
      </c>
      <c r="C23" s="4">
        <v>3.59897659971655E14</v>
      </c>
      <c r="D23" s="5">
        <v>95000.0</v>
      </c>
      <c r="E23" s="2"/>
      <c r="F23" s="3" t="s">
        <v>51</v>
      </c>
    </row>
    <row r="24">
      <c r="A24" s="1" t="s">
        <v>47</v>
      </c>
      <c r="B24" s="1" t="s">
        <v>52</v>
      </c>
      <c r="C24" s="4">
        <v>3.5971153618973E14</v>
      </c>
      <c r="D24" s="5">
        <v>120000.0</v>
      </c>
      <c r="E24" s="2"/>
      <c r="F24" s="3" t="s">
        <v>53</v>
      </c>
    </row>
    <row r="25">
      <c r="A25" s="1" t="s">
        <v>47</v>
      </c>
      <c r="B25" s="1" t="s">
        <v>54</v>
      </c>
      <c r="C25" s="4"/>
      <c r="D25" s="5">
        <v>105000.0</v>
      </c>
      <c r="E25" s="2"/>
      <c r="F25" s="3"/>
    </row>
    <row r="26">
      <c r="A26" s="1" t="s">
        <v>47</v>
      </c>
      <c r="B26" s="1" t="s">
        <v>55</v>
      </c>
      <c r="C26" s="4"/>
      <c r="D26" s="5">
        <v>110000.0</v>
      </c>
      <c r="E26" s="2"/>
      <c r="F26" s="3"/>
    </row>
    <row r="27">
      <c r="A27" s="1" t="s">
        <v>47</v>
      </c>
      <c r="B27" s="1" t="s">
        <v>36</v>
      </c>
      <c r="C27" s="4"/>
      <c r="D27" s="5">
        <v>110000.0</v>
      </c>
      <c r="E27" s="2" t="s">
        <v>46</v>
      </c>
      <c r="F27" s="3"/>
    </row>
    <row r="28">
      <c r="A28" s="1" t="s">
        <v>47</v>
      </c>
      <c r="B28" s="1" t="s">
        <v>56</v>
      </c>
      <c r="C28" s="4"/>
      <c r="D28" s="5">
        <v>100000.0</v>
      </c>
      <c r="E28" s="2"/>
      <c r="F28" s="3"/>
    </row>
    <row r="29">
      <c r="A29" s="1" t="s">
        <v>57</v>
      </c>
      <c r="B29" s="1" t="s">
        <v>58</v>
      </c>
      <c r="C29" s="4"/>
      <c r="D29" s="5">
        <v>100000.0</v>
      </c>
      <c r="E29" s="32"/>
      <c r="F29" s="26"/>
    </row>
    <row r="30">
      <c r="A30" s="1" t="s">
        <v>59</v>
      </c>
      <c r="B30" s="1" t="s">
        <v>60</v>
      </c>
      <c r="C30" s="4">
        <v>3.58876624853207E14</v>
      </c>
      <c r="D30" s="5">
        <v>55000.0</v>
      </c>
      <c r="E30" s="2"/>
      <c r="F30" s="26"/>
    </row>
    <row r="31">
      <c r="A31" s="1" t="s">
        <v>61</v>
      </c>
      <c r="B31" s="1" t="s">
        <v>38</v>
      </c>
      <c r="C31" s="4"/>
      <c r="D31" s="5">
        <v>130000.0</v>
      </c>
      <c r="E31" s="2"/>
      <c r="F31" s="26"/>
    </row>
    <row r="32">
      <c r="A32" s="27" t="s">
        <v>61</v>
      </c>
      <c r="B32" s="27" t="s">
        <v>62</v>
      </c>
      <c r="C32" s="28"/>
      <c r="D32" s="29"/>
      <c r="E32" s="30" t="s">
        <v>63</v>
      </c>
      <c r="F32" s="31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7" t="s">
        <v>64</v>
      </c>
      <c r="B33" s="27" t="s">
        <v>65</v>
      </c>
      <c r="C33" s="28"/>
      <c r="D33" s="29"/>
      <c r="E33" s="30" t="s">
        <v>66</v>
      </c>
      <c r="F33" s="33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" t="s">
        <v>67</v>
      </c>
      <c r="B34" s="1" t="s">
        <v>68</v>
      </c>
      <c r="C34" s="4"/>
      <c r="D34" s="5">
        <v>200000.0</v>
      </c>
      <c r="E34" s="2"/>
      <c r="F34" s="3"/>
    </row>
    <row r="35">
      <c r="A35" s="1" t="s">
        <v>67</v>
      </c>
      <c r="B35" s="1" t="s">
        <v>69</v>
      </c>
      <c r="C35" s="4">
        <v>3.54868698000074E14</v>
      </c>
      <c r="D35" s="5">
        <v>160000.0</v>
      </c>
      <c r="E35" s="2"/>
      <c r="F35" s="3"/>
    </row>
    <row r="36">
      <c r="A36" s="1" t="s">
        <v>67</v>
      </c>
      <c r="B36" s="1" t="s">
        <v>70</v>
      </c>
      <c r="C36" s="4"/>
      <c r="D36" s="5">
        <v>155000.0</v>
      </c>
      <c r="E36" s="2"/>
      <c r="F36" s="3"/>
    </row>
    <row r="37">
      <c r="A37" s="1" t="s">
        <v>71</v>
      </c>
      <c r="B37" s="1" t="s">
        <v>72</v>
      </c>
      <c r="C37" s="4">
        <v>3.5703137989265E14</v>
      </c>
      <c r="D37" s="5">
        <v>140000.0</v>
      </c>
      <c r="E37" s="2" t="s">
        <v>46</v>
      </c>
      <c r="F37" s="3"/>
    </row>
    <row r="38">
      <c r="A38" s="1" t="s">
        <v>67</v>
      </c>
      <c r="B38" s="1" t="s">
        <v>73</v>
      </c>
      <c r="C38" s="4"/>
      <c r="D38" s="5">
        <v>135000.0</v>
      </c>
      <c r="E38" s="2"/>
      <c r="F38" s="3"/>
    </row>
    <row r="39">
      <c r="A39" s="1" t="s">
        <v>71</v>
      </c>
      <c r="B39" s="1" t="s">
        <v>74</v>
      </c>
      <c r="C39" s="4">
        <v>3.50108724532079E14</v>
      </c>
      <c r="D39" s="5">
        <v>145000.0</v>
      </c>
      <c r="E39" s="2"/>
      <c r="F39" s="3"/>
    </row>
    <row r="40">
      <c r="A40" s="1" t="s">
        <v>71</v>
      </c>
      <c r="B40" s="1" t="s">
        <v>75</v>
      </c>
      <c r="C40" s="4"/>
      <c r="D40" s="5">
        <v>170000.0</v>
      </c>
      <c r="E40" s="2"/>
      <c r="F40" s="3"/>
    </row>
    <row r="41">
      <c r="A41" s="27" t="s">
        <v>71</v>
      </c>
      <c r="B41" s="27" t="s">
        <v>76</v>
      </c>
      <c r="C41" s="28"/>
      <c r="D41" s="29"/>
      <c r="E41" s="30" t="s">
        <v>77</v>
      </c>
      <c r="F41" s="33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" t="s">
        <v>78</v>
      </c>
      <c r="B42" s="1" t="s">
        <v>79</v>
      </c>
      <c r="C42" s="4"/>
      <c r="D42" s="5">
        <v>230000.0</v>
      </c>
      <c r="E42" s="32"/>
      <c r="F42" s="26"/>
    </row>
    <row r="43">
      <c r="A43" s="1" t="s">
        <v>78</v>
      </c>
      <c r="B43" s="1" t="s">
        <v>80</v>
      </c>
      <c r="C43" s="4"/>
      <c r="D43" s="5">
        <v>155000.0</v>
      </c>
      <c r="E43" s="32"/>
      <c r="F43" s="26"/>
    </row>
    <row r="44">
      <c r="A44" s="1" t="s">
        <v>78</v>
      </c>
      <c r="B44" s="1" t="s">
        <v>81</v>
      </c>
      <c r="C44" s="4"/>
      <c r="D44" s="5">
        <v>185000.0</v>
      </c>
      <c r="E44" s="32"/>
      <c r="F44" s="26"/>
    </row>
    <row r="45">
      <c r="A45" s="27" t="s">
        <v>82</v>
      </c>
      <c r="B45" s="27" t="s">
        <v>83</v>
      </c>
      <c r="C45" s="28"/>
      <c r="D45" s="29"/>
      <c r="E45" s="30" t="s">
        <v>84</v>
      </c>
      <c r="F45" s="31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7" t="s">
        <v>82</v>
      </c>
      <c r="B46" s="27" t="s">
        <v>85</v>
      </c>
      <c r="C46" s="28"/>
      <c r="D46" s="29"/>
      <c r="E46" s="30" t="s">
        <v>86</v>
      </c>
      <c r="F46" s="31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7" t="s">
        <v>82</v>
      </c>
      <c r="B47" s="27" t="s">
        <v>87</v>
      </c>
      <c r="C47" s="28"/>
      <c r="D47" s="29"/>
      <c r="E47" s="30" t="s">
        <v>88</v>
      </c>
      <c r="F47" s="31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7" t="s">
        <v>82</v>
      </c>
      <c r="B48" s="27" t="s">
        <v>89</v>
      </c>
      <c r="C48" s="28"/>
      <c r="D48" s="29"/>
      <c r="E48" s="30" t="s">
        <v>90</v>
      </c>
      <c r="F48" s="31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7" t="s">
        <v>91</v>
      </c>
      <c r="B49" s="27" t="s">
        <v>92</v>
      </c>
      <c r="C49" s="28"/>
      <c r="D49" s="29"/>
      <c r="E49" s="30" t="s">
        <v>93</v>
      </c>
      <c r="F49" s="31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" t="s">
        <v>94</v>
      </c>
      <c r="B50" s="1" t="s">
        <v>95</v>
      </c>
      <c r="C50" s="4"/>
      <c r="D50" s="5">
        <v>340000.0</v>
      </c>
      <c r="E50" s="2"/>
      <c r="F50" s="26"/>
    </row>
    <row r="51">
      <c r="A51" s="1" t="s">
        <v>96</v>
      </c>
      <c r="B51" s="1" t="s">
        <v>97</v>
      </c>
      <c r="C51" s="4"/>
      <c r="D51" s="5">
        <v>160000.0</v>
      </c>
      <c r="E51" s="2"/>
      <c r="F51" s="26"/>
    </row>
    <row r="52">
      <c r="A52" s="1" t="s">
        <v>96</v>
      </c>
      <c r="B52" s="1" t="s">
        <v>97</v>
      </c>
      <c r="C52" s="4"/>
      <c r="D52" s="5">
        <v>160000.0</v>
      </c>
      <c r="E52" s="2"/>
      <c r="F52" s="26"/>
    </row>
    <row r="53">
      <c r="A53" s="27" t="s">
        <v>98</v>
      </c>
      <c r="B53" s="27" t="s">
        <v>99</v>
      </c>
      <c r="C53" s="28"/>
      <c r="D53" s="29"/>
      <c r="E53" s="30" t="s">
        <v>100</v>
      </c>
      <c r="F53" s="33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" t="s">
        <v>101</v>
      </c>
      <c r="B54" s="1" t="s">
        <v>102</v>
      </c>
      <c r="C54" s="4"/>
      <c r="D54" s="5">
        <v>13000.0</v>
      </c>
      <c r="E54" s="2" t="s">
        <v>103</v>
      </c>
      <c r="F54" s="3"/>
    </row>
    <row r="55">
      <c r="A55" s="1" t="s">
        <v>104</v>
      </c>
      <c r="B55" s="1" t="s">
        <v>105</v>
      </c>
      <c r="C55" s="4"/>
      <c r="D55" s="5">
        <v>35000.0</v>
      </c>
      <c r="E55" s="2" t="s">
        <v>46</v>
      </c>
      <c r="F55" s="3"/>
    </row>
    <row r="56">
      <c r="A56" s="27" t="s">
        <v>106</v>
      </c>
      <c r="B56" s="27" t="s">
        <v>107</v>
      </c>
      <c r="C56" s="28"/>
      <c r="D56" s="29"/>
      <c r="E56" s="30" t="s">
        <v>108</v>
      </c>
      <c r="F56" s="33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34" t="s">
        <v>109</v>
      </c>
      <c r="B57" s="34" t="s">
        <v>110</v>
      </c>
      <c r="C57" s="35"/>
      <c r="D57" s="36"/>
      <c r="E57" s="37" t="s">
        <v>111</v>
      </c>
      <c r="F57" s="33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34" t="s">
        <v>109</v>
      </c>
      <c r="B58" s="34" t="s">
        <v>112</v>
      </c>
      <c r="C58" s="35"/>
      <c r="D58" s="36"/>
      <c r="E58" s="37" t="s">
        <v>113</v>
      </c>
      <c r="F58" s="33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27" t="s">
        <v>114</v>
      </c>
      <c r="B59" s="27" t="s">
        <v>115</v>
      </c>
      <c r="C59" s="28">
        <v>3.54178380701199E14</v>
      </c>
      <c r="D59" s="29"/>
      <c r="E59" s="30" t="s">
        <v>116</v>
      </c>
      <c r="F59" s="31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27" t="s">
        <v>117</v>
      </c>
      <c r="B60" s="27" t="s">
        <v>118</v>
      </c>
      <c r="C60" s="28"/>
      <c r="D60" s="29"/>
      <c r="E60" s="30" t="s">
        <v>119</v>
      </c>
      <c r="F60" s="31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27" t="s">
        <v>117</v>
      </c>
      <c r="B61" s="27" t="s">
        <v>118</v>
      </c>
      <c r="C61" s="28"/>
      <c r="D61" s="29"/>
      <c r="E61" s="30" t="s">
        <v>120</v>
      </c>
      <c r="F61" s="31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27" t="s">
        <v>117</v>
      </c>
      <c r="B62" s="27" t="s">
        <v>118</v>
      </c>
      <c r="C62" s="28"/>
      <c r="D62" s="29"/>
      <c r="E62" s="30" t="s">
        <v>121</v>
      </c>
      <c r="F62" s="31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" t="s">
        <v>117</v>
      </c>
      <c r="B63" s="1" t="s">
        <v>118</v>
      </c>
      <c r="C63" s="4"/>
      <c r="D63" s="5">
        <v>20000.0</v>
      </c>
      <c r="E63" s="32"/>
      <c r="F63" s="26"/>
    </row>
    <row r="64">
      <c r="A64" s="1" t="s">
        <v>117</v>
      </c>
      <c r="B64" s="1" t="s">
        <v>118</v>
      </c>
      <c r="C64" s="4"/>
      <c r="D64" s="5">
        <v>20000.0</v>
      </c>
      <c r="E64" s="32"/>
      <c r="F64" s="26"/>
    </row>
    <row r="65">
      <c r="A65" s="1" t="s">
        <v>117</v>
      </c>
      <c r="B65" s="1" t="s">
        <v>118</v>
      </c>
      <c r="C65" s="4"/>
      <c r="D65" s="5">
        <v>20000.0</v>
      </c>
      <c r="E65" s="32"/>
      <c r="F65" s="26"/>
    </row>
    <row r="66">
      <c r="A66" s="33" t="s">
        <v>122</v>
      </c>
      <c r="B66" s="33" t="s">
        <v>123</v>
      </c>
      <c r="C66" s="33">
        <v>3.5635642312798E14</v>
      </c>
      <c r="D66" s="38"/>
      <c r="E66" s="39" t="s">
        <v>124</v>
      </c>
      <c r="F66" s="31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33" t="s">
        <v>125</v>
      </c>
      <c r="B67" s="33"/>
      <c r="C67" s="33"/>
      <c r="D67" s="38"/>
      <c r="E67" s="39" t="s">
        <v>126</v>
      </c>
      <c r="F67" s="31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3" t="s">
        <v>127</v>
      </c>
      <c r="B68" s="3"/>
      <c r="C68" s="3"/>
      <c r="D68" s="40">
        <v>50000.0</v>
      </c>
      <c r="E68" s="41"/>
      <c r="F68" s="26"/>
    </row>
    <row r="69">
      <c r="A69" s="3" t="s">
        <v>128</v>
      </c>
      <c r="B69" s="3" t="s">
        <v>129</v>
      </c>
      <c r="C69" s="42"/>
      <c r="D69" s="40">
        <v>40000.0</v>
      </c>
      <c r="E69" s="41"/>
      <c r="F69" s="26"/>
    </row>
    <row r="70">
      <c r="A70" s="3" t="s">
        <v>130</v>
      </c>
      <c r="B70" s="3" t="s">
        <v>131</v>
      </c>
      <c r="C70" s="42"/>
      <c r="D70" s="40">
        <v>80000.0</v>
      </c>
      <c r="E70" s="41"/>
      <c r="F70" s="26"/>
    </row>
    <row r="71">
      <c r="A71" s="3" t="s">
        <v>132</v>
      </c>
      <c r="B71" s="3" t="s">
        <v>133</v>
      </c>
      <c r="C71" s="42"/>
      <c r="D71" s="40">
        <v>50000.0</v>
      </c>
      <c r="E71" s="41"/>
      <c r="F71" s="26"/>
    </row>
    <row r="72">
      <c r="A72" s="3" t="s">
        <v>134</v>
      </c>
      <c r="B72" s="3" t="s">
        <v>135</v>
      </c>
      <c r="C72" s="42"/>
      <c r="D72" s="40">
        <v>3000.0</v>
      </c>
      <c r="E72" s="43"/>
      <c r="F72" s="26"/>
    </row>
    <row r="73">
      <c r="A73" s="3" t="s">
        <v>136</v>
      </c>
      <c r="B73" s="3" t="s">
        <v>137</v>
      </c>
      <c r="C73" s="42"/>
      <c r="D73" s="40">
        <v>11000.0</v>
      </c>
      <c r="E73" s="41"/>
      <c r="F73" s="26"/>
    </row>
    <row r="74">
      <c r="A74" s="3" t="s">
        <v>136</v>
      </c>
      <c r="B74" s="3" t="s">
        <v>138</v>
      </c>
      <c r="C74" s="42" t="s">
        <v>46</v>
      </c>
      <c r="D74" s="40">
        <v>11000.0</v>
      </c>
      <c r="E74" s="41"/>
      <c r="F74" s="26"/>
    </row>
    <row r="75">
      <c r="A75" s="44"/>
      <c r="B75" s="44"/>
      <c r="D75" s="44"/>
      <c r="E75" s="45"/>
      <c r="F75" s="44"/>
    </row>
    <row r="76">
      <c r="A76" s="44"/>
      <c r="B76" s="44"/>
      <c r="D76" s="44"/>
      <c r="E76" s="45"/>
      <c r="F76" s="44"/>
    </row>
    <row r="77">
      <c r="A77" s="44"/>
      <c r="E77" s="45"/>
    </row>
    <row r="78">
      <c r="A78" s="44"/>
      <c r="E78" s="45"/>
    </row>
    <row r="79">
      <c r="A79" s="44"/>
      <c r="E79" s="45"/>
    </row>
    <row r="80">
      <c r="A80" s="44"/>
      <c r="E80" s="45"/>
    </row>
    <row r="81">
      <c r="A81" s="46" t="s">
        <v>139</v>
      </c>
      <c r="D81" s="47">
        <f>sum(D3:D74)</f>
        <v>4713500</v>
      </c>
      <c r="E81" s="45"/>
    </row>
    <row r="84">
      <c r="E84" s="45"/>
    </row>
    <row r="85">
      <c r="E85" s="45"/>
    </row>
    <row r="86">
      <c r="E86" s="45"/>
    </row>
    <row r="87">
      <c r="E87" s="45"/>
    </row>
    <row r="88">
      <c r="D88" s="48"/>
    </row>
    <row r="99">
      <c r="D99" s="44"/>
    </row>
    <row r="150">
      <c r="E150" s="45"/>
    </row>
    <row r="151">
      <c r="E151" s="45"/>
    </row>
    <row r="152">
      <c r="E152" s="45"/>
    </row>
    <row r="153">
      <c r="E153" s="45"/>
    </row>
    <row r="154">
      <c r="E154" s="45"/>
    </row>
    <row r="155">
      <c r="E155" s="45"/>
    </row>
    <row r="156">
      <c r="E156" s="45"/>
    </row>
    <row r="157">
      <c r="E157" s="45"/>
    </row>
    <row r="158">
      <c r="E158" s="45"/>
    </row>
    <row r="159">
      <c r="E159" s="45"/>
    </row>
    <row r="160">
      <c r="E160" s="45"/>
    </row>
    <row r="161">
      <c r="E161" s="45"/>
    </row>
    <row r="162">
      <c r="E162" s="45"/>
    </row>
    <row r="163">
      <c r="E163" s="45"/>
    </row>
    <row r="164">
      <c r="E164" s="45"/>
    </row>
    <row r="165">
      <c r="E165" s="45"/>
    </row>
    <row r="166">
      <c r="E166" s="45"/>
    </row>
    <row r="167">
      <c r="E167" s="45"/>
    </row>
    <row r="168">
      <c r="E168" s="45"/>
    </row>
    <row r="169">
      <c r="E169" s="45"/>
    </row>
    <row r="170">
      <c r="E170" s="45"/>
    </row>
    <row r="171">
      <c r="E171" s="45"/>
    </row>
    <row r="172">
      <c r="E172" s="45"/>
    </row>
    <row r="173">
      <c r="E173" s="45"/>
    </row>
    <row r="174">
      <c r="E174" s="45"/>
    </row>
    <row r="175">
      <c r="E175" s="45"/>
    </row>
    <row r="176">
      <c r="E176" s="45"/>
    </row>
    <row r="177">
      <c r="E177" s="45"/>
    </row>
    <row r="178">
      <c r="E178" s="45"/>
    </row>
    <row r="179">
      <c r="E179" s="45"/>
    </row>
    <row r="180">
      <c r="E180" s="45"/>
    </row>
    <row r="181">
      <c r="E181" s="45"/>
    </row>
    <row r="182">
      <c r="E182" s="45"/>
    </row>
    <row r="183">
      <c r="E183" s="45"/>
    </row>
    <row r="184">
      <c r="E184" s="45"/>
    </row>
    <row r="185">
      <c r="E185" s="45"/>
    </row>
    <row r="186">
      <c r="E186" s="45"/>
    </row>
    <row r="187">
      <c r="E187" s="45"/>
    </row>
    <row r="188">
      <c r="E188" s="45"/>
    </row>
    <row r="189">
      <c r="E189" s="45"/>
    </row>
    <row r="190">
      <c r="E190" s="45"/>
    </row>
    <row r="191">
      <c r="E191" s="45"/>
    </row>
    <row r="192">
      <c r="E192" s="45"/>
    </row>
    <row r="193">
      <c r="E193" s="45"/>
    </row>
    <row r="194">
      <c r="E194" s="45"/>
    </row>
    <row r="195">
      <c r="E195" s="45"/>
    </row>
    <row r="196">
      <c r="E196" s="45"/>
    </row>
    <row r="197">
      <c r="E197" s="45"/>
    </row>
    <row r="198">
      <c r="E198" s="45"/>
    </row>
    <row r="199">
      <c r="E199" s="45"/>
    </row>
    <row r="200">
      <c r="E200" s="45"/>
    </row>
    <row r="201">
      <c r="E201" s="45"/>
    </row>
    <row r="202">
      <c r="E202" s="45"/>
    </row>
    <row r="203">
      <c r="E203" s="45"/>
    </row>
    <row r="204">
      <c r="E204" s="45"/>
    </row>
    <row r="205">
      <c r="E205" s="45"/>
    </row>
    <row r="206">
      <c r="E206" s="45"/>
    </row>
    <row r="207">
      <c r="E207" s="45"/>
    </row>
    <row r="208">
      <c r="E208" s="45"/>
    </row>
    <row r="209">
      <c r="E209" s="45"/>
    </row>
    <row r="210">
      <c r="E210" s="45"/>
    </row>
    <row r="211">
      <c r="E211" s="45"/>
    </row>
    <row r="212">
      <c r="E212" s="45"/>
    </row>
    <row r="213">
      <c r="E213" s="45"/>
    </row>
    <row r="214">
      <c r="E214" s="45"/>
    </row>
    <row r="215">
      <c r="E215" s="45"/>
    </row>
    <row r="216">
      <c r="E216" s="45"/>
    </row>
    <row r="217">
      <c r="E217" s="45"/>
    </row>
    <row r="218">
      <c r="E218" s="45"/>
    </row>
    <row r="219">
      <c r="E219" s="45"/>
    </row>
    <row r="220">
      <c r="E220" s="45"/>
    </row>
    <row r="221">
      <c r="E221" s="45"/>
    </row>
    <row r="222">
      <c r="E222" s="45"/>
    </row>
    <row r="223">
      <c r="E223" s="45"/>
    </row>
    <row r="224">
      <c r="E224" s="45"/>
    </row>
    <row r="225">
      <c r="E225" s="45"/>
    </row>
    <row r="226">
      <c r="E226" s="45"/>
    </row>
    <row r="227">
      <c r="E227" s="45"/>
    </row>
    <row r="228">
      <c r="E228" s="45"/>
    </row>
    <row r="229">
      <c r="E229" s="45"/>
    </row>
    <row r="230">
      <c r="E230" s="45"/>
    </row>
    <row r="231">
      <c r="E231" s="45"/>
    </row>
    <row r="232">
      <c r="E232" s="45"/>
    </row>
    <row r="233">
      <c r="E233" s="45"/>
    </row>
    <row r="234">
      <c r="E234" s="45"/>
    </row>
    <row r="235">
      <c r="E235" s="45"/>
    </row>
    <row r="236">
      <c r="E236" s="45"/>
    </row>
    <row r="237">
      <c r="E237" s="45"/>
    </row>
    <row r="238">
      <c r="E238" s="45"/>
    </row>
    <row r="239">
      <c r="E239" s="45"/>
    </row>
    <row r="240">
      <c r="E240" s="45"/>
    </row>
    <row r="241">
      <c r="E241" s="45"/>
    </row>
    <row r="242">
      <c r="E242" s="45"/>
    </row>
    <row r="243">
      <c r="E243" s="45"/>
    </row>
    <row r="244">
      <c r="E244" s="45"/>
    </row>
    <row r="245">
      <c r="E245" s="45"/>
    </row>
    <row r="246">
      <c r="E246" s="45"/>
    </row>
    <row r="247">
      <c r="E247" s="45"/>
    </row>
    <row r="248">
      <c r="E248" s="45"/>
    </row>
    <row r="249">
      <c r="E249" s="45"/>
    </row>
    <row r="250">
      <c r="E250" s="45"/>
    </row>
    <row r="251">
      <c r="E251" s="45"/>
    </row>
    <row r="252">
      <c r="E252" s="45"/>
    </row>
    <row r="253">
      <c r="E253" s="45"/>
    </row>
    <row r="254">
      <c r="E254" s="45"/>
    </row>
    <row r="255">
      <c r="E255" s="45"/>
    </row>
    <row r="256">
      <c r="E256" s="45"/>
    </row>
    <row r="257">
      <c r="E257" s="45"/>
    </row>
    <row r="258">
      <c r="E258" s="45"/>
    </row>
    <row r="259">
      <c r="E259" s="45"/>
    </row>
    <row r="260">
      <c r="E260" s="45"/>
    </row>
    <row r="261">
      <c r="E261" s="45"/>
    </row>
    <row r="262">
      <c r="E262" s="45"/>
    </row>
    <row r="263">
      <c r="E263" s="45"/>
    </row>
    <row r="264">
      <c r="E264" s="45"/>
    </row>
    <row r="265">
      <c r="E265" s="45"/>
    </row>
    <row r="266">
      <c r="E266" s="45"/>
    </row>
    <row r="267">
      <c r="E267" s="45"/>
    </row>
    <row r="268">
      <c r="E268" s="45"/>
    </row>
    <row r="269">
      <c r="E269" s="45"/>
    </row>
    <row r="270">
      <c r="E270" s="45"/>
    </row>
    <row r="271">
      <c r="E271" s="45"/>
    </row>
    <row r="272">
      <c r="E272" s="45"/>
    </row>
    <row r="273">
      <c r="E273" s="45"/>
    </row>
    <row r="274">
      <c r="E274" s="45"/>
    </row>
    <row r="275">
      <c r="E275" s="45"/>
    </row>
    <row r="276">
      <c r="E276" s="45"/>
    </row>
    <row r="277">
      <c r="E277" s="45"/>
    </row>
    <row r="278">
      <c r="E278" s="45"/>
    </row>
    <row r="279">
      <c r="E279" s="45"/>
    </row>
    <row r="280">
      <c r="E280" s="45"/>
    </row>
    <row r="281">
      <c r="E281" s="45"/>
    </row>
    <row r="282">
      <c r="E282" s="45"/>
    </row>
    <row r="283">
      <c r="E283" s="45"/>
    </row>
    <row r="284">
      <c r="E284" s="45"/>
    </row>
    <row r="285">
      <c r="E285" s="45"/>
    </row>
    <row r="286">
      <c r="E286" s="45"/>
    </row>
    <row r="287">
      <c r="E287" s="45"/>
    </row>
    <row r="288">
      <c r="E288" s="45"/>
    </row>
    <row r="289">
      <c r="E289" s="45"/>
    </row>
    <row r="290">
      <c r="E290" s="45"/>
    </row>
    <row r="291">
      <c r="E291" s="45"/>
    </row>
    <row r="292">
      <c r="E292" s="45"/>
    </row>
    <row r="293">
      <c r="E293" s="45"/>
    </row>
    <row r="294">
      <c r="E294" s="45"/>
    </row>
    <row r="295">
      <c r="E295" s="45"/>
    </row>
    <row r="296">
      <c r="E296" s="45"/>
    </row>
    <row r="297">
      <c r="E297" s="45"/>
    </row>
    <row r="298">
      <c r="E298" s="45"/>
    </row>
    <row r="299">
      <c r="E299" s="45"/>
    </row>
    <row r="300">
      <c r="E300" s="45"/>
    </row>
    <row r="301">
      <c r="E301" s="45"/>
    </row>
    <row r="302">
      <c r="E302" s="45"/>
    </row>
    <row r="303">
      <c r="E303" s="45"/>
    </row>
    <row r="304">
      <c r="E304" s="45"/>
    </row>
    <row r="305">
      <c r="E305" s="45"/>
    </row>
    <row r="306">
      <c r="E306" s="45"/>
    </row>
    <row r="307">
      <c r="E307" s="45"/>
    </row>
    <row r="308">
      <c r="E308" s="45"/>
    </row>
    <row r="309">
      <c r="E309" s="45"/>
    </row>
    <row r="310">
      <c r="E310" s="45"/>
    </row>
    <row r="311">
      <c r="E311" s="45"/>
    </row>
    <row r="312">
      <c r="E312" s="45"/>
    </row>
    <row r="313">
      <c r="E313" s="45"/>
    </row>
    <row r="314">
      <c r="E314" s="45"/>
    </row>
    <row r="315">
      <c r="E315" s="45"/>
    </row>
    <row r="316">
      <c r="E316" s="45"/>
    </row>
    <row r="317">
      <c r="E317" s="45"/>
    </row>
    <row r="318">
      <c r="E318" s="45"/>
    </row>
    <row r="319">
      <c r="E319" s="45"/>
    </row>
    <row r="320">
      <c r="E320" s="45"/>
    </row>
    <row r="321">
      <c r="E321" s="45"/>
    </row>
    <row r="322">
      <c r="E322" s="45"/>
    </row>
    <row r="323">
      <c r="E323" s="45"/>
    </row>
    <row r="324">
      <c r="E324" s="45"/>
    </row>
    <row r="325">
      <c r="E325" s="45"/>
    </row>
    <row r="326">
      <c r="E326" s="45"/>
    </row>
    <row r="327">
      <c r="E327" s="45"/>
    </row>
    <row r="328">
      <c r="E328" s="45"/>
    </row>
    <row r="329">
      <c r="E329" s="45"/>
    </row>
    <row r="330">
      <c r="E330" s="45"/>
    </row>
    <row r="331">
      <c r="E331" s="45"/>
    </row>
    <row r="332">
      <c r="E332" s="45"/>
    </row>
    <row r="333">
      <c r="E333" s="45"/>
    </row>
    <row r="334">
      <c r="E334" s="45"/>
    </row>
    <row r="335">
      <c r="E335" s="45"/>
    </row>
    <row r="336">
      <c r="E336" s="45"/>
    </row>
    <row r="337">
      <c r="E337" s="45"/>
    </row>
    <row r="338">
      <c r="E338" s="45"/>
    </row>
    <row r="339">
      <c r="E339" s="45"/>
    </row>
    <row r="340">
      <c r="E340" s="45"/>
    </row>
    <row r="341">
      <c r="E341" s="45"/>
    </row>
    <row r="342">
      <c r="E342" s="45"/>
    </row>
    <row r="343">
      <c r="E343" s="45"/>
    </row>
    <row r="344">
      <c r="E344" s="45"/>
    </row>
    <row r="345">
      <c r="E345" s="45"/>
    </row>
    <row r="346">
      <c r="E346" s="45"/>
    </row>
    <row r="347">
      <c r="E347" s="45"/>
    </row>
    <row r="348">
      <c r="E348" s="45"/>
    </row>
    <row r="349">
      <c r="E349" s="45"/>
    </row>
    <row r="350">
      <c r="E350" s="45"/>
    </row>
    <row r="351">
      <c r="E351" s="45"/>
    </row>
    <row r="352">
      <c r="E352" s="45"/>
    </row>
    <row r="353">
      <c r="E353" s="45"/>
    </row>
    <row r="354">
      <c r="E354" s="45"/>
    </row>
    <row r="355">
      <c r="E355" s="45"/>
    </row>
    <row r="356">
      <c r="E356" s="45"/>
    </row>
    <row r="357">
      <c r="E357" s="45"/>
    </row>
    <row r="358">
      <c r="E358" s="45"/>
    </row>
    <row r="359">
      <c r="E359" s="45"/>
    </row>
    <row r="360">
      <c r="E360" s="45"/>
    </row>
    <row r="361">
      <c r="E361" s="45"/>
    </row>
    <row r="362">
      <c r="E362" s="45"/>
    </row>
    <row r="363">
      <c r="E363" s="45"/>
    </row>
    <row r="364">
      <c r="E364" s="45"/>
    </row>
    <row r="365">
      <c r="E365" s="45"/>
    </row>
    <row r="366">
      <c r="E366" s="45"/>
    </row>
    <row r="367">
      <c r="E367" s="45"/>
    </row>
    <row r="368">
      <c r="E368" s="45"/>
    </row>
    <row r="369">
      <c r="E369" s="45"/>
    </row>
    <row r="370">
      <c r="E370" s="45"/>
    </row>
    <row r="371">
      <c r="E371" s="45"/>
    </row>
    <row r="372">
      <c r="E372" s="45"/>
    </row>
    <row r="373">
      <c r="E373" s="45"/>
    </row>
    <row r="374">
      <c r="E374" s="45"/>
    </row>
    <row r="375">
      <c r="E375" s="45"/>
    </row>
    <row r="376">
      <c r="E376" s="45"/>
    </row>
    <row r="377">
      <c r="E377" s="45"/>
    </row>
    <row r="378">
      <c r="E378" s="45"/>
    </row>
    <row r="379">
      <c r="E379" s="45"/>
    </row>
    <row r="380">
      <c r="E380" s="45"/>
    </row>
    <row r="381">
      <c r="E381" s="45"/>
    </row>
    <row r="382">
      <c r="E382" s="45"/>
    </row>
    <row r="383">
      <c r="E383" s="45"/>
    </row>
    <row r="384">
      <c r="E384" s="45"/>
    </row>
    <row r="385">
      <c r="E385" s="45"/>
    </row>
    <row r="386">
      <c r="E386" s="45"/>
    </row>
    <row r="387">
      <c r="E387" s="45"/>
    </row>
    <row r="388">
      <c r="E388" s="45"/>
    </row>
    <row r="389">
      <c r="E389" s="45"/>
    </row>
    <row r="390">
      <c r="E390" s="45"/>
    </row>
    <row r="391">
      <c r="E391" s="45"/>
    </row>
    <row r="392">
      <c r="E392" s="45"/>
    </row>
    <row r="393">
      <c r="E393" s="45"/>
    </row>
    <row r="394">
      <c r="E394" s="45"/>
    </row>
    <row r="395">
      <c r="E395" s="45"/>
    </row>
    <row r="396">
      <c r="E396" s="45"/>
    </row>
    <row r="397">
      <c r="E397" s="45"/>
    </row>
    <row r="398">
      <c r="E398" s="45"/>
    </row>
    <row r="399">
      <c r="E399" s="45"/>
    </row>
    <row r="400">
      <c r="E400" s="45"/>
    </row>
    <row r="401">
      <c r="E401" s="45"/>
    </row>
    <row r="402">
      <c r="E402" s="45"/>
    </row>
    <row r="403">
      <c r="E403" s="45"/>
    </row>
    <row r="404">
      <c r="E404" s="45"/>
    </row>
    <row r="405">
      <c r="E405" s="45"/>
    </row>
    <row r="406">
      <c r="E406" s="45"/>
    </row>
    <row r="407">
      <c r="E407" s="45"/>
    </row>
    <row r="408">
      <c r="E408" s="45"/>
    </row>
    <row r="409">
      <c r="E409" s="45"/>
    </row>
    <row r="410">
      <c r="E410" s="45"/>
    </row>
    <row r="411">
      <c r="E411" s="45"/>
    </row>
    <row r="412">
      <c r="E412" s="45"/>
    </row>
    <row r="413">
      <c r="E413" s="45"/>
    </row>
    <row r="414">
      <c r="E414" s="45"/>
    </row>
    <row r="415">
      <c r="E415" s="45"/>
    </row>
    <row r="416">
      <c r="E416" s="45"/>
    </row>
    <row r="417">
      <c r="E417" s="45"/>
    </row>
    <row r="418">
      <c r="E418" s="45"/>
    </row>
    <row r="419">
      <c r="E419" s="45"/>
    </row>
    <row r="420">
      <c r="E420" s="45"/>
    </row>
    <row r="421">
      <c r="E421" s="45"/>
    </row>
    <row r="422">
      <c r="E422" s="45"/>
    </row>
    <row r="423">
      <c r="E423" s="45"/>
    </row>
    <row r="424">
      <c r="E424" s="45"/>
    </row>
    <row r="425">
      <c r="E425" s="45"/>
    </row>
    <row r="426">
      <c r="E426" s="45"/>
    </row>
    <row r="427">
      <c r="E427" s="45"/>
    </row>
    <row r="428">
      <c r="E428" s="45"/>
    </row>
    <row r="429">
      <c r="E429" s="45"/>
    </row>
    <row r="430">
      <c r="E430" s="45"/>
    </row>
    <row r="431">
      <c r="E431" s="45"/>
    </row>
    <row r="432">
      <c r="E432" s="45"/>
    </row>
    <row r="433">
      <c r="E433" s="45"/>
    </row>
    <row r="434">
      <c r="E434" s="45"/>
    </row>
    <row r="435">
      <c r="E435" s="45"/>
    </row>
    <row r="436">
      <c r="E436" s="45"/>
    </row>
    <row r="437">
      <c r="E437" s="45"/>
    </row>
    <row r="438">
      <c r="E438" s="45"/>
    </row>
    <row r="439">
      <c r="E439" s="45"/>
    </row>
    <row r="440">
      <c r="E440" s="45"/>
    </row>
    <row r="441">
      <c r="E441" s="45"/>
    </row>
    <row r="442">
      <c r="E442" s="45"/>
    </row>
    <row r="443">
      <c r="E443" s="45"/>
    </row>
    <row r="444">
      <c r="E444" s="45"/>
    </row>
    <row r="445">
      <c r="E445" s="45"/>
    </row>
    <row r="446">
      <c r="E446" s="45"/>
    </row>
    <row r="447">
      <c r="E447" s="45"/>
    </row>
    <row r="448">
      <c r="E448" s="45"/>
    </row>
    <row r="449">
      <c r="E449" s="45"/>
    </row>
    <row r="450">
      <c r="E450" s="45"/>
    </row>
    <row r="451">
      <c r="E451" s="45"/>
    </row>
    <row r="452">
      <c r="E452" s="45"/>
    </row>
    <row r="453">
      <c r="E453" s="45"/>
    </row>
    <row r="454">
      <c r="E454" s="45"/>
    </row>
    <row r="455">
      <c r="E455" s="45"/>
    </row>
    <row r="456">
      <c r="E456" s="45"/>
    </row>
    <row r="457">
      <c r="E457" s="45"/>
    </row>
    <row r="458">
      <c r="E458" s="45"/>
    </row>
    <row r="459">
      <c r="E459" s="45"/>
    </row>
    <row r="460">
      <c r="E460" s="45"/>
    </row>
    <row r="461">
      <c r="E461" s="45"/>
    </row>
    <row r="462">
      <c r="E462" s="45"/>
    </row>
    <row r="463">
      <c r="E463" s="45"/>
    </row>
    <row r="464">
      <c r="E464" s="45"/>
    </row>
    <row r="465">
      <c r="E465" s="45"/>
    </row>
    <row r="466">
      <c r="E466" s="45"/>
    </row>
    <row r="467">
      <c r="E467" s="45"/>
    </row>
    <row r="468">
      <c r="E468" s="45"/>
    </row>
    <row r="469">
      <c r="E469" s="45"/>
    </row>
    <row r="470">
      <c r="E470" s="45"/>
    </row>
    <row r="471">
      <c r="E471" s="45"/>
    </row>
    <row r="472">
      <c r="E472" s="45"/>
    </row>
    <row r="473">
      <c r="E473" s="45"/>
    </row>
    <row r="474">
      <c r="E474" s="45"/>
    </row>
    <row r="475">
      <c r="E475" s="45"/>
    </row>
    <row r="476">
      <c r="E476" s="45"/>
    </row>
    <row r="477">
      <c r="E477" s="45"/>
    </row>
    <row r="478">
      <c r="E478" s="45"/>
    </row>
    <row r="479">
      <c r="E479" s="45"/>
    </row>
    <row r="480">
      <c r="E480" s="45"/>
    </row>
    <row r="481">
      <c r="E481" s="45"/>
    </row>
    <row r="482">
      <c r="E482" s="45"/>
    </row>
    <row r="483">
      <c r="E483" s="45"/>
    </row>
    <row r="484">
      <c r="E484" s="45"/>
    </row>
    <row r="485">
      <c r="E485" s="45"/>
    </row>
    <row r="486">
      <c r="E486" s="45"/>
    </row>
    <row r="487">
      <c r="E487" s="45"/>
    </row>
    <row r="488">
      <c r="E488" s="45"/>
    </row>
    <row r="489">
      <c r="E489" s="45"/>
    </row>
    <row r="490">
      <c r="E490" s="45"/>
    </row>
    <row r="491">
      <c r="E491" s="45"/>
    </row>
    <row r="492">
      <c r="E492" s="45"/>
    </row>
    <row r="493">
      <c r="E493" s="45"/>
    </row>
    <row r="494">
      <c r="E494" s="45"/>
    </row>
    <row r="495">
      <c r="E495" s="45"/>
    </row>
    <row r="496">
      <c r="E496" s="45"/>
    </row>
    <row r="497">
      <c r="E497" s="45"/>
    </row>
    <row r="498">
      <c r="E498" s="45"/>
    </row>
    <row r="499">
      <c r="E499" s="45"/>
    </row>
    <row r="500">
      <c r="E500" s="45"/>
    </row>
    <row r="501">
      <c r="E501" s="45"/>
    </row>
    <row r="502">
      <c r="E502" s="45"/>
    </row>
    <row r="503">
      <c r="E503" s="45"/>
    </row>
    <row r="504">
      <c r="E504" s="45"/>
    </row>
    <row r="505">
      <c r="E505" s="45"/>
    </row>
    <row r="506">
      <c r="E506" s="45"/>
    </row>
    <row r="507">
      <c r="E507" s="45"/>
    </row>
    <row r="508">
      <c r="E508" s="45"/>
    </row>
    <row r="509">
      <c r="E509" s="45"/>
    </row>
    <row r="510">
      <c r="E510" s="45"/>
    </row>
    <row r="511">
      <c r="E511" s="45"/>
    </row>
    <row r="512">
      <c r="E512" s="45"/>
    </row>
    <row r="513">
      <c r="E513" s="45"/>
    </row>
    <row r="514">
      <c r="E514" s="45"/>
    </row>
    <row r="515">
      <c r="E515" s="45"/>
    </row>
    <row r="516">
      <c r="E516" s="45"/>
    </row>
    <row r="517">
      <c r="E517" s="45"/>
    </row>
    <row r="518">
      <c r="E518" s="45"/>
    </row>
    <row r="519">
      <c r="E519" s="45"/>
    </row>
    <row r="520">
      <c r="E520" s="45"/>
    </row>
    <row r="521">
      <c r="E521" s="45"/>
    </row>
    <row r="522">
      <c r="E522" s="45"/>
    </row>
    <row r="523">
      <c r="E523" s="45"/>
    </row>
    <row r="524">
      <c r="E524" s="45"/>
    </row>
    <row r="525">
      <c r="E525" s="45"/>
    </row>
    <row r="526">
      <c r="E526" s="45"/>
    </row>
    <row r="527">
      <c r="E527" s="45"/>
    </row>
    <row r="528">
      <c r="E528" s="45"/>
    </row>
    <row r="529">
      <c r="E529" s="45"/>
    </row>
    <row r="530">
      <c r="E530" s="45"/>
    </row>
    <row r="531">
      <c r="E531" s="45"/>
    </row>
    <row r="532">
      <c r="E532" s="45"/>
    </row>
    <row r="533">
      <c r="E533" s="45"/>
    </row>
    <row r="534">
      <c r="E534" s="45"/>
    </row>
    <row r="535">
      <c r="E535" s="45"/>
    </row>
    <row r="536">
      <c r="E536" s="45"/>
    </row>
    <row r="537">
      <c r="E537" s="45"/>
    </row>
    <row r="538">
      <c r="E538" s="45"/>
    </row>
    <row r="539">
      <c r="E539" s="45"/>
    </row>
    <row r="540">
      <c r="E540" s="45"/>
    </row>
    <row r="541">
      <c r="E541" s="45"/>
    </row>
    <row r="542">
      <c r="E542" s="45"/>
    </row>
    <row r="543">
      <c r="E543" s="45"/>
    </row>
    <row r="544">
      <c r="E544" s="45"/>
    </row>
    <row r="545">
      <c r="E545" s="45"/>
    </row>
    <row r="546">
      <c r="E546" s="45"/>
    </row>
    <row r="547">
      <c r="E547" s="45"/>
    </row>
    <row r="548">
      <c r="E548" s="45"/>
    </row>
    <row r="549">
      <c r="E549" s="45"/>
    </row>
    <row r="550">
      <c r="E550" s="45"/>
    </row>
    <row r="551">
      <c r="E551" s="45"/>
    </row>
    <row r="552">
      <c r="E552" s="45"/>
    </row>
    <row r="553">
      <c r="E553" s="45"/>
    </row>
    <row r="554">
      <c r="E554" s="45"/>
    </row>
    <row r="555">
      <c r="E555" s="45"/>
    </row>
    <row r="556">
      <c r="E556" s="45"/>
    </row>
    <row r="557">
      <c r="E557" s="45"/>
    </row>
    <row r="558">
      <c r="E558" s="45"/>
    </row>
    <row r="559">
      <c r="E559" s="45"/>
    </row>
    <row r="560">
      <c r="E560" s="45"/>
    </row>
    <row r="561">
      <c r="E561" s="45"/>
    </row>
    <row r="562">
      <c r="E562" s="45"/>
    </row>
    <row r="563">
      <c r="E563" s="45"/>
    </row>
    <row r="564">
      <c r="E564" s="45"/>
    </row>
    <row r="565">
      <c r="E565" s="45"/>
    </row>
    <row r="566">
      <c r="E566" s="45"/>
    </row>
    <row r="567">
      <c r="E567" s="45"/>
    </row>
    <row r="568">
      <c r="E568" s="45"/>
    </row>
    <row r="569">
      <c r="E569" s="45"/>
    </row>
    <row r="570">
      <c r="E570" s="45"/>
    </row>
    <row r="571">
      <c r="E571" s="45"/>
    </row>
    <row r="572">
      <c r="E572" s="45"/>
    </row>
    <row r="573">
      <c r="E573" s="45"/>
    </row>
    <row r="574">
      <c r="E574" s="45"/>
    </row>
    <row r="575">
      <c r="E575" s="45"/>
    </row>
    <row r="576">
      <c r="E576" s="45"/>
    </row>
    <row r="577">
      <c r="E577" s="45"/>
    </row>
    <row r="578">
      <c r="E578" s="45"/>
    </row>
    <row r="579">
      <c r="E579" s="45"/>
    </row>
    <row r="580">
      <c r="E580" s="45"/>
    </row>
    <row r="581">
      <c r="E581" s="45"/>
    </row>
    <row r="582">
      <c r="E582" s="45"/>
    </row>
    <row r="583">
      <c r="E583" s="45"/>
    </row>
    <row r="584">
      <c r="E584" s="45"/>
    </row>
    <row r="585">
      <c r="E585" s="45"/>
    </row>
    <row r="586">
      <c r="E586" s="45"/>
    </row>
    <row r="587">
      <c r="E587" s="45"/>
    </row>
    <row r="588">
      <c r="E588" s="45"/>
    </row>
    <row r="589">
      <c r="E589" s="45"/>
    </row>
    <row r="590">
      <c r="E590" s="45"/>
    </row>
    <row r="591">
      <c r="E591" s="45"/>
    </row>
    <row r="592">
      <c r="E592" s="45"/>
    </row>
    <row r="593">
      <c r="E593" s="45"/>
    </row>
    <row r="594">
      <c r="E594" s="45"/>
    </row>
    <row r="595">
      <c r="E595" s="45"/>
    </row>
    <row r="596">
      <c r="E596" s="45"/>
    </row>
    <row r="597">
      <c r="E597" s="45"/>
    </row>
    <row r="598">
      <c r="E598" s="45"/>
    </row>
    <row r="599">
      <c r="E599" s="45"/>
    </row>
    <row r="600">
      <c r="E600" s="45"/>
    </row>
    <row r="601">
      <c r="E601" s="45"/>
    </row>
    <row r="602">
      <c r="E602" s="45"/>
    </row>
    <row r="603">
      <c r="E603" s="45"/>
    </row>
    <row r="604">
      <c r="E604" s="45"/>
    </row>
    <row r="605">
      <c r="E605" s="45"/>
    </row>
    <row r="606">
      <c r="E606" s="45"/>
    </row>
    <row r="607">
      <c r="E607" s="45"/>
    </row>
    <row r="608">
      <c r="E608" s="45"/>
    </row>
    <row r="609">
      <c r="E609" s="45"/>
    </row>
    <row r="610">
      <c r="E610" s="45"/>
    </row>
    <row r="611">
      <c r="E611" s="45"/>
    </row>
    <row r="612">
      <c r="E612" s="45"/>
    </row>
    <row r="613">
      <c r="E613" s="45"/>
    </row>
    <row r="614">
      <c r="E614" s="45"/>
    </row>
    <row r="615">
      <c r="E615" s="45"/>
    </row>
    <row r="616">
      <c r="E616" s="45"/>
    </row>
    <row r="617">
      <c r="E617" s="45"/>
    </row>
    <row r="618">
      <c r="E618" s="45"/>
    </row>
    <row r="619">
      <c r="E619" s="45"/>
    </row>
    <row r="620">
      <c r="E620" s="45"/>
    </row>
    <row r="621">
      <c r="E621" s="45"/>
    </row>
    <row r="622">
      <c r="E622" s="45"/>
    </row>
    <row r="623">
      <c r="E623" s="45"/>
    </row>
    <row r="624">
      <c r="E624" s="45"/>
    </row>
    <row r="625">
      <c r="E625" s="45"/>
    </row>
    <row r="626">
      <c r="E626" s="45"/>
    </row>
    <row r="627">
      <c r="E627" s="45"/>
    </row>
    <row r="628">
      <c r="E628" s="45"/>
    </row>
    <row r="629">
      <c r="E629" s="45"/>
    </row>
    <row r="630">
      <c r="E630" s="45"/>
    </row>
    <row r="631">
      <c r="E631" s="45"/>
    </row>
    <row r="632">
      <c r="E632" s="45"/>
    </row>
    <row r="633">
      <c r="E633" s="45"/>
    </row>
    <row r="634">
      <c r="E634" s="45"/>
    </row>
    <row r="635">
      <c r="E635" s="45"/>
    </row>
    <row r="636">
      <c r="E636" s="45"/>
    </row>
    <row r="637">
      <c r="E637" s="45"/>
    </row>
    <row r="638">
      <c r="E638" s="45"/>
    </row>
    <row r="639">
      <c r="E639" s="45"/>
    </row>
    <row r="640">
      <c r="E640" s="45"/>
    </row>
    <row r="641">
      <c r="E641" s="45"/>
    </row>
    <row r="642">
      <c r="E642" s="45"/>
    </row>
    <row r="643">
      <c r="E643" s="45"/>
    </row>
    <row r="644">
      <c r="E644" s="45"/>
    </row>
    <row r="645">
      <c r="E645" s="45"/>
    </row>
    <row r="646">
      <c r="E646" s="45"/>
    </row>
    <row r="647">
      <c r="E647" s="45"/>
    </row>
    <row r="648">
      <c r="E648" s="45"/>
    </row>
    <row r="649">
      <c r="E649" s="45"/>
    </row>
    <row r="650">
      <c r="E650" s="45"/>
    </row>
    <row r="651">
      <c r="E651" s="45"/>
    </row>
    <row r="652">
      <c r="E652" s="45"/>
    </row>
    <row r="653">
      <c r="E653" s="45"/>
    </row>
    <row r="654">
      <c r="E654" s="45"/>
    </row>
    <row r="655">
      <c r="E655" s="45"/>
    </row>
    <row r="656">
      <c r="E656" s="45"/>
    </row>
    <row r="657">
      <c r="E657" s="45"/>
    </row>
    <row r="658">
      <c r="E658" s="45"/>
    </row>
    <row r="659">
      <c r="E659" s="45"/>
    </row>
    <row r="660">
      <c r="E660" s="45"/>
    </row>
    <row r="661">
      <c r="E661" s="45"/>
    </row>
    <row r="662">
      <c r="E662" s="45"/>
    </row>
    <row r="663">
      <c r="E663" s="45"/>
    </row>
    <row r="664">
      <c r="E664" s="45"/>
    </row>
    <row r="665">
      <c r="E665" s="45"/>
    </row>
    <row r="666">
      <c r="E666" s="45"/>
    </row>
    <row r="667">
      <c r="E667" s="45"/>
    </row>
    <row r="668">
      <c r="E668" s="45"/>
    </row>
    <row r="669">
      <c r="E669" s="45"/>
    </row>
    <row r="670">
      <c r="E670" s="45"/>
    </row>
    <row r="671">
      <c r="E671" s="45"/>
    </row>
    <row r="672">
      <c r="E672" s="45"/>
    </row>
    <row r="673">
      <c r="E673" s="45"/>
    </row>
    <row r="674">
      <c r="E674" s="45"/>
    </row>
    <row r="675">
      <c r="E675" s="45"/>
    </row>
    <row r="676">
      <c r="E676" s="45"/>
    </row>
    <row r="677">
      <c r="E677" s="45"/>
    </row>
    <row r="678">
      <c r="E678" s="45"/>
    </row>
    <row r="679">
      <c r="E679" s="45"/>
    </row>
    <row r="680">
      <c r="E680" s="45"/>
    </row>
    <row r="681">
      <c r="E681" s="45"/>
    </row>
    <row r="682">
      <c r="E682" s="45"/>
    </row>
    <row r="683">
      <c r="E683" s="45"/>
    </row>
    <row r="684">
      <c r="E684" s="45"/>
    </row>
    <row r="685">
      <c r="E685" s="45"/>
    </row>
    <row r="686">
      <c r="E686" s="45"/>
    </row>
    <row r="687">
      <c r="E687" s="45"/>
    </row>
    <row r="688">
      <c r="E688" s="45"/>
    </row>
    <row r="689">
      <c r="E689" s="45"/>
    </row>
    <row r="690">
      <c r="E690" s="45"/>
    </row>
    <row r="691">
      <c r="E691" s="45"/>
    </row>
    <row r="692">
      <c r="E692" s="45"/>
    </row>
    <row r="693">
      <c r="E693" s="45"/>
    </row>
    <row r="694">
      <c r="E694" s="45"/>
    </row>
    <row r="695">
      <c r="E695" s="45"/>
    </row>
    <row r="696">
      <c r="E696" s="45"/>
    </row>
    <row r="697">
      <c r="E697" s="45"/>
    </row>
    <row r="698">
      <c r="E698" s="45"/>
    </row>
    <row r="699">
      <c r="E699" s="45"/>
    </row>
    <row r="700">
      <c r="E700" s="45"/>
    </row>
    <row r="701">
      <c r="E701" s="45"/>
    </row>
    <row r="702">
      <c r="E702" s="45"/>
    </row>
    <row r="703">
      <c r="E703" s="45"/>
    </row>
    <row r="704">
      <c r="E704" s="45"/>
    </row>
    <row r="705">
      <c r="E705" s="45"/>
    </row>
    <row r="706">
      <c r="E706" s="45"/>
    </row>
    <row r="707">
      <c r="E707" s="45"/>
    </row>
    <row r="708">
      <c r="E708" s="45"/>
    </row>
    <row r="709">
      <c r="E709" s="45"/>
    </row>
    <row r="710">
      <c r="E710" s="45"/>
    </row>
    <row r="711">
      <c r="E711" s="45"/>
    </row>
    <row r="712">
      <c r="E712" s="45"/>
    </row>
    <row r="713">
      <c r="E713" s="45"/>
    </row>
    <row r="714">
      <c r="E714" s="45"/>
    </row>
    <row r="715">
      <c r="E715" s="45"/>
    </row>
    <row r="716">
      <c r="E716" s="45"/>
    </row>
    <row r="717">
      <c r="E717" s="45"/>
    </row>
    <row r="718">
      <c r="E718" s="45"/>
    </row>
    <row r="719">
      <c r="E719" s="45"/>
    </row>
    <row r="720">
      <c r="E720" s="45"/>
    </row>
    <row r="721">
      <c r="E721" s="45"/>
    </row>
    <row r="722">
      <c r="E722" s="45"/>
    </row>
    <row r="723">
      <c r="E723" s="45"/>
    </row>
    <row r="724">
      <c r="E724" s="45"/>
    </row>
    <row r="725">
      <c r="E725" s="45"/>
    </row>
    <row r="726">
      <c r="E726" s="45"/>
    </row>
    <row r="727">
      <c r="E727" s="45"/>
    </row>
    <row r="728">
      <c r="E728" s="45"/>
    </row>
    <row r="729">
      <c r="E729" s="45"/>
    </row>
    <row r="730">
      <c r="E730" s="45"/>
    </row>
    <row r="731">
      <c r="E731" s="45"/>
    </row>
    <row r="732">
      <c r="E732" s="45"/>
    </row>
    <row r="733">
      <c r="E733" s="45"/>
    </row>
    <row r="734">
      <c r="E734" s="45"/>
    </row>
    <row r="735">
      <c r="E735" s="45"/>
    </row>
    <row r="736">
      <c r="E736" s="45"/>
    </row>
    <row r="737">
      <c r="E737" s="45"/>
    </row>
    <row r="738">
      <c r="E738" s="45"/>
    </row>
    <row r="739">
      <c r="E739" s="45"/>
    </row>
    <row r="740">
      <c r="E740" s="45"/>
    </row>
    <row r="741">
      <c r="E741" s="45"/>
    </row>
    <row r="742">
      <c r="E742" s="45"/>
    </row>
    <row r="743">
      <c r="E743" s="45"/>
    </row>
    <row r="744">
      <c r="E744" s="45"/>
    </row>
    <row r="745">
      <c r="E745" s="45"/>
    </row>
    <row r="746">
      <c r="E746" s="45"/>
    </row>
    <row r="747">
      <c r="E747" s="45"/>
    </row>
    <row r="748">
      <c r="E748" s="45"/>
    </row>
    <row r="749">
      <c r="E749" s="45"/>
    </row>
    <row r="750">
      <c r="E750" s="45"/>
    </row>
    <row r="751">
      <c r="E751" s="45"/>
    </row>
    <row r="752">
      <c r="E752" s="45"/>
    </row>
    <row r="753">
      <c r="E753" s="45"/>
    </row>
    <row r="754">
      <c r="E754" s="45"/>
    </row>
    <row r="755">
      <c r="E755" s="45"/>
    </row>
    <row r="756">
      <c r="E756" s="45"/>
    </row>
    <row r="757">
      <c r="E757" s="45"/>
    </row>
    <row r="758">
      <c r="E758" s="45"/>
    </row>
    <row r="759">
      <c r="E759" s="45"/>
    </row>
    <row r="760">
      <c r="E760" s="45"/>
    </row>
    <row r="761">
      <c r="E761" s="45"/>
    </row>
    <row r="762">
      <c r="E762" s="45"/>
    </row>
    <row r="763">
      <c r="E763" s="45"/>
    </row>
    <row r="764">
      <c r="E764" s="45"/>
    </row>
    <row r="765">
      <c r="E765" s="45"/>
    </row>
    <row r="766">
      <c r="E766" s="45"/>
    </row>
    <row r="767">
      <c r="E767" s="45"/>
    </row>
    <row r="768">
      <c r="E768" s="45"/>
    </row>
    <row r="769">
      <c r="E769" s="45"/>
    </row>
    <row r="770">
      <c r="E770" s="45"/>
    </row>
    <row r="771">
      <c r="E771" s="45"/>
    </row>
    <row r="772">
      <c r="E772" s="45"/>
    </row>
    <row r="773">
      <c r="E773" s="45"/>
    </row>
    <row r="774">
      <c r="E774" s="45"/>
    </row>
    <row r="775">
      <c r="E775" s="45"/>
    </row>
    <row r="776">
      <c r="E776" s="45"/>
    </row>
    <row r="777">
      <c r="E777" s="45"/>
    </row>
    <row r="778">
      <c r="E778" s="45"/>
    </row>
    <row r="779">
      <c r="E779" s="45"/>
    </row>
    <row r="780">
      <c r="E780" s="45"/>
    </row>
    <row r="781">
      <c r="E781" s="45"/>
    </row>
    <row r="782">
      <c r="E782" s="45"/>
    </row>
    <row r="783">
      <c r="E783" s="45"/>
    </row>
    <row r="784">
      <c r="E784" s="45"/>
    </row>
    <row r="785">
      <c r="E785" s="45"/>
    </row>
    <row r="786">
      <c r="E786" s="45"/>
    </row>
    <row r="787">
      <c r="E787" s="45"/>
    </row>
    <row r="788">
      <c r="E788" s="45"/>
    </row>
    <row r="789">
      <c r="E789" s="45"/>
    </row>
    <row r="790">
      <c r="E790" s="45"/>
    </row>
    <row r="791">
      <c r="E791" s="45"/>
    </row>
    <row r="792">
      <c r="E792" s="45"/>
    </row>
    <row r="793">
      <c r="E793" s="45"/>
    </row>
    <row r="794">
      <c r="E794" s="45"/>
    </row>
    <row r="795">
      <c r="E795" s="45"/>
    </row>
    <row r="796">
      <c r="E796" s="45"/>
    </row>
    <row r="797">
      <c r="E797" s="45"/>
    </row>
    <row r="798">
      <c r="E798" s="45"/>
    </row>
    <row r="799">
      <c r="E799" s="45"/>
    </row>
    <row r="800">
      <c r="E800" s="45"/>
    </row>
    <row r="801">
      <c r="E801" s="45"/>
    </row>
    <row r="802">
      <c r="E802" s="45"/>
    </row>
    <row r="803">
      <c r="E803" s="45"/>
    </row>
    <row r="804">
      <c r="E804" s="45"/>
    </row>
    <row r="805">
      <c r="E805" s="45"/>
    </row>
    <row r="806">
      <c r="E806" s="45"/>
    </row>
    <row r="807">
      <c r="E807" s="45"/>
    </row>
    <row r="808">
      <c r="E808" s="45"/>
    </row>
    <row r="809">
      <c r="E809" s="45"/>
    </row>
    <row r="810">
      <c r="E810" s="45"/>
    </row>
    <row r="811">
      <c r="E811" s="45"/>
    </row>
    <row r="812">
      <c r="E812" s="45"/>
    </row>
    <row r="813">
      <c r="E813" s="45"/>
    </row>
    <row r="814">
      <c r="E814" s="45"/>
    </row>
    <row r="815">
      <c r="E815" s="45"/>
    </row>
    <row r="816">
      <c r="E816" s="45"/>
    </row>
    <row r="817">
      <c r="E817" s="45"/>
    </row>
    <row r="818">
      <c r="E818" s="45"/>
    </row>
    <row r="819">
      <c r="E819" s="45"/>
    </row>
    <row r="820">
      <c r="E820" s="45"/>
    </row>
    <row r="821">
      <c r="E821" s="45"/>
    </row>
    <row r="822">
      <c r="E822" s="45"/>
    </row>
    <row r="823">
      <c r="E823" s="45"/>
    </row>
    <row r="824">
      <c r="E824" s="45"/>
    </row>
    <row r="825">
      <c r="E825" s="45"/>
    </row>
    <row r="826">
      <c r="E826" s="45"/>
    </row>
    <row r="827">
      <c r="E827" s="45"/>
    </row>
    <row r="828">
      <c r="E828" s="45"/>
    </row>
    <row r="829">
      <c r="E829" s="45"/>
    </row>
    <row r="830">
      <c r="E830" s="45"/>
    </row>
    <row r="831">
      <c r="E831" s="45"/>
    </row>
    <row r="832">
      <c r="E832" s="45"/>
    </row>
    <row r="833">
      <c r="E833" s="45"/>
    </row>
    <row r="834">
      <c r="E834" s="45"/>
    </row>
    <row r="835">
      <c r="E835" s="45"/>
    </row>
    <row r="836">
      <c r="E836" s="45"/>
    </row>
    <row r="837">
      <c r="E837" s="45"/>
    </row>
    <row r="838">
      <c r="E838" s="45"/>
    </row>
    <row r="839">
      <c r="E839" s="45"/>
    </row>
    <row r="840">
      <c r="E840" s="45"/>
    </row>
    <row r="841">
      <c r="E841" s="45"/>
    </row>
    <row r="842">
      <c r="E842" s="45"/>
    </row>
    <row r="843">
      <c r="E843" s="45"/>
    </row>
    <row r="844">
      <c r="E844" s="45"/>
    </row>
    <row r="845">
      <c r="E845" s="45"/>
    </row>
    <row r="846">
      <c r="E846" s="45"/>
    </row>
    <row r="847">
      <c r="E847" s="45"/>
    </row>
    <row r="848">
      <c r="E848" s="45"/>
    </row>
    <row r="849">
      <c r="E849" s="45"/>
    </row>
    <row r="850">
      <c r="E850" s="45"/>
    </row>
    <row r="851">
      <c r="E851" s="45"/>
    </row>
    <row r="852">
      <c r="E852" s="45"/>
    </row>
    <row r="853">
      <c r="E853" s="45"/>
    </row>
    <row r="854">
      <c r="E854" s="45"/>
    </row>
    <row r="855">
      <c r="E855" s="45"/>
    </row>
    <row r="856">
      <c r="E856" s="45"/>
    </row>
    <row r="857">
      <c r="E857" s="45"/>
    </row>
    <row r="858">
      <c r="E858" s="45"/>
    </row>
    <row r="859">
      <c r="E859" s="45"/>
    </row>
    <row r="860">
      <c r="E860" s="45"/>
    </row>
    <row r="861">
      <c r="E861" s="45"/>
    </row>
    <row r="862">
      <c r="E862" s="45"/>
    </row>
    <row r="863">
      <c r="E863" s="45"/>
    </row>
    <row r="864">
      <c r="E864" s="45"/>
    </row>
    <row r="865">
      <c r="E865" s="45"/>
    </row>
    <row r="866">
      <c r="E866" s="45"/>
    </row>
    <row r="867">
      <c r="E867" s="45"/>
    </row>
    <row r="868">
      <c r="E868" s="45"/>
    </row>
    <row r="869">
      <c r="E869" s="45"/>
    </row>
    <row r="870">
      <c r="E870" s="45"/>
    </row>
    <row r="871">
      <c r="E871" s="45"/>
    </row>
    <row r="872">
      <c r="E872" s="45"/>
    </row>
    <row r="873">
      <c r="E873" s="45"/>
    </row>
    <row r="874">
      <c r="E874" s="45"/>
    </row>
    <row r="875">
      <c r="E875" s="45"/>
    </row>
    <row r="876">
      <c r="E876" s="45"/>
    </row>
    <row r="877">
      <c r="E877" s="45"/>
    </row>
    <row r="878">
      <c r="E878" s="45"/>
    </row>
    <row r="879">
      <c r="E879" s="45"/>
    </row>
    <row r="880">
      <c r="E880" s="45"/>
    </row>
    <row r="881">
      <c r="E881" s="45"/>
    </row>
    <row r="882">
      <c r="E882" s="45"/>
    </row>
    <row r="883">
      <c r="E883" s="45"/>
    </row>
    <row r="884">
      <c r="E884" s="45"/>
    </row>
    <row r="885">
      <c r="E885" s="45"/>
    </row>
    <row r="886">
      <c r="E886" s="45"/>
    </row>
    <row r="887">
      <c r="E887" s="45"/>
    </row>
    <row r="888">
      <c r="E888" s="45"/>
    </row>
    <row r="889">
      <c r="E889" s="45"/>
    </row>
    <row r="890">
      <c r="E890" s="45"/>
    </row>
    <row r="891">
      <c r="E891" s="45"/>
    </row>
    <row r="892">
      <c r="E892" s="45"/>
    </row>
    <row r="893">
      <c r="E893" s="45"/>
    </row>
    <row r="894">
      <c r="E894" s="45"/>
    </row>
    <row r="895">
      <c r="E895" s="45"/>
    </row>
    <row r="896">
      <c r="E896" s="45"/>
    </row>
    <row r="897">
      <c r="E897" s="45"/>
    </row>
    <row r="898">
      <c r="E898" s="45"/>
    </row>
    <row r="899">
      <c r="E899" s="45"/>
    </row>
    <row r="900">
      <c r="E900" s="45"/>
    </row>
    <row r="901">
      <c r="E901" s="45"/>
    </row>
    <row r="902">
      <c r="E902" s="45"/>
    </row>
    <row r="903">
      <c r="E903" s="45"/>
    </row>
    <row r="904">
      <c r="E904" s="45"/>
    </row>
    <row r="905">
      <c r="E905" s="45"/>
    </row>
    <row r="906">
      <c r="E906" s="45"/>
    </row>
    <row r="907">
      <c r="E907" s="45"/>
    </row>
    <row r="908">
      <c r="E908" s="45"/>
    </row>
    <row r="909">
      <c r="E909" s="45"/>
    </row>
    <row r="910">
      <c r="E910" s="45"/>
    </row>
    <row r="911">
      <c r="E911" s="45"/>
    </row>
    <row r="912">
      <c r="E912" s="45"/>
    </row>
    <row r="913">
      <c r="E913" s="45"/>
    </row>
    <row r="914">
      <c r="E914" s="45"/>
    </row>
    <row r="915">
      <c r="E915" s="45"/>
    </row>
    <row r="916">
      <c r="E916" s="45"/>
    </row>
    <row r="917">
      <c r="E917" s="45"/>
    </row>
    <row r="918">
      <c r="E918" s="45"/>
    </row>
    <row r="919">
      <c r="E919" s="45"/>
    </row>
    <row r="920">
      <c r="E920" s="45"/>
    </row>
    <row r="921">
      <c r="E921" s="45"/>
    </row>
    <row r="922">
      <c r="E922" s="45"/>
    </row>
    <row r="923">
      <c r="E923" s="45"/>
    </row>
    <row r="924">
      <c r="E924" s="45"/>
    </row>
    <row r="925">
      <c r="E925" s="45"/>
    </row>
    <row r="926">
      <c r="E926" s="45"/>
    </row>
    <row r="927">
      <c r="E927" s="45"/>
    </row>
    <row r="928">
      <c r="E928" s="45"/>
    </row>
    <row r="929">
      <c r="E929" s="45"/>
    </row>
    <row r="930">
      <c r="E930" s="45"/>
    </row>
    <row r="931">
      <c r="E931" s="45"/>
    </row>
    <row r="932">
      <c r="E932" s="45"/>
    </row>
    <row r="933">
      <c r="E933" s="45"/>
    </row>
    <row r="934">
      <c r="E934" s="45"/>
    </row>
    <row r="935">
      <c r="E935" s="45"/>
    </row>
    <row r="936">
      <c r="E936" s="45"/>
    </row>
    <row r="937">
      <c r="E937" s="45"/>
    </row>
    <row r="938">
      <c r="E938" s="45"/>
    </row>
    <row r="939">
      <c r="E939" s="45"/>
    </row>
    <row r="940">
      <c r="E940" s="45"/>
    </row>
    <row r="941">
      <c r="E941" s="45"/>
    </row>
    <row r="942">
      <c r="E942" s="45"/>
    </row>
    <row r="943">
      <c r="E943" s="45"/>
    </row>
    <row r="944">
      <c r="E944" s="45"/>
    </row>
    <row r="945">
      <c r="E945" s="45"/>
    </row>
    <row r="946">
      <c r="E946" s="45"/>
    </row>
    <row r="947">
      <c r="E947" s="45"/>
    </row>
    <row r="948">
      <c r="E948" s="45"/>
    </row>
    <row r="949">
      <c r="E949" s="45"/>
    </row>
    <row r="950">
      <c r="E950" s="45"/>
    </row>
    <row r="951">
      <c r="E951" s="45"/>
    </row>
    <row r="952">
      <c r="E952" s="45"/>
    </row>
    <row r="953">
      <c r="E953" s="45"/>
    </row>
    <row r="954">
      <c r="E954" s="45"/>
    </row>
    <row r="955">
      <c r="E955" s="45"/>
    </row>
    <row r="956">
      <c r="E956" s="45"/>
    </row>
    <row r="957">
      <c r="E957" s="45"/>
    </row>
    <row r="958">
      <c r="E958" s="45"/>
    </row>
    <row r="959">
      <c r="E959" s="45"/>
    </row>
    <row r="960">
      <c r="E960" s="45"/>
    </row>
    <row r="961">
      <c r="E961" s="45"/>
    </row>
    <row r="962">
      <c r="E962" s="45"/>
    </row>
    <row r="963">
      <c r="E963" s="45"/>
    </row>
    <row r="964">
      <c r="E964" s="45"/>
    </row>
    <row r="965">
      <c r="E965" s="45"/>
    </row>
    <row r="966">
      <c r="E966" s="45"/>
    </row>
    <row r="967">
      <c r="E967" s="45"/>
    </row>
    <row r="968">
      <c r="E968" s="45"/>
    </row>
    <row r="969">
      <c r="E969" s="45"/>
    </row>
    <row r="970">
      <c r="E970" s="45"/>
    </row>
    <row r="971">
      <c r="E971" s="45"/>
    </row>
    <row r="972">
      <c r="E972" s="45"/>
    </row>
    <row r="973">
      <c r="E973" s="45"/>
    </row>
    <row r="974">
      <c r="E974" s="45"/>
    </row>
    <row r="975">
      <c r="E975" s="45"/>
    </row>
    <row r="976">
      <c r="E976" s="45"/>
    </row>
    <row r="977">
      <c r="E977" s="45"/>
    </row>
    <row r="978">
      <c r="E978" s="45"/>
    </row>
    <row r="979">
      <c r="E979" s="45"/>
    </row>
    <row r="980">
      <c r="E980" s="45"/>
    </row>
    <row r="981">
      <c r="E981" s="45"/>
    </row>
    <row r="982">
      <c r="E982" s="45"/>
    </row>
    <row r="983">
      <c r="E983" s="45"/>
    </row>
    <row r="984">
      <c r="E984" s="45"/>
    </row>
    <row r="985">
      <c r="E985" s="45"/>
    </row>
    <row r="986">
      <c r="E986" s="45"/>
    </row>
    <row r="987">
      <c r="E987" s="45"/>
    </row>
    <row r="988">
      <c r="E988" s="45"/>
    </row>
    <row r="989">
      <c r="E989" s="45"/>
    </row>
    <row r="990">
      <c r="E990" s="45"/>
    </row>
    <row r="991">
      <c r="E991" s="45"/>
    </row>
    <row r="992">
      <c r="E992" s="45"/>
    </row>
    <row r="993">
      <c r="E993" s="45"/>
    </row>
    <row r="994">
      <c r="E994" s="45"/>
    </row>
    <row r="995">
      <c r="E995" s="45"/>
    </row>
    <row r="996">
      <c r="E996" s="45"/>
    </row>
    <row r="997">
      <c r="E997" s="45"/>
    </row>
    <row r="998">
      <c r="E998" s="45"/>
    </row>
    <row r="999">
      <c r="E999" s="45"/>
    </row>
    <row r="1000">
      <c r="E1000" s="45"/>
    </row>
    <row r="1001">
      <c r="E1001" s="45"/>
    </row>
    <row r="1002">
      <c r="E1002" s="45"/>
    </row>
    <row r="1003">
      <c r="E1003" s="45"/>
    </row>
    <row r="1004">
      <c r="E1004" s="45"/>
    </row>
    <row r="1005">
      <c r="E1005" s="45"/>
    </row>
    <row r="1006">
      <c r="E1006" s="45"/>
    </row>
    <row r="1007">
      <c r="E1007" s="45"/>
    </row>
    <row r="1008">
      <c r="E1008" s="45"/>
    </row>
    <row r="1009">
      <c r="E1009" s="45"/>
    </row>
    <row r="1010">
      <c r="E1010" s="45"/>
    </row>
    <row r="1011">
      <c r="E1011" s="45"/>
    </row>
    <row r="1012">
      <c r="E1012" s="45"/>
    </row>
    <row r="1013">
      <c r="E1013" s="45"/>
    </row>
    <row r="1014">
      <c r="E1014" s="45"/>
    </row>
    <row r="1015">
      <c r="E1015" s="45"/>
    </row>
    <row r="1016">
      <c r="E1016" s="45"/>
    </row>
    <row r="1017">
      <c r="E1017" s="45"/>
    </row>
    <row r="1018">
      <c r="E1018" s="45"/>
    </row>
    <row r="1019">
      <c r="E1019" s="45"/>
    </row>
    <row r="1020">
      <c r="E1020" s="45"/>
    </row>
    <row r="1021">
      <c r="E1021" s="45"/>
    </row>
    <row r="1022">
      <c r="E1022" s="45"/>
    </row>
    <row r="1023">
      <c r="E1023" s="45"/>
    </row>
    <row r="1024">
      <c r="E1024" s="45"/>
    </row>
    <row r="1025">
      <c r="E1025" s="45"/>
    </row>
    <row r="1026">
      <c r="E1026" s="45"/>
    </row>
    <row r="1027">
      <c r="E1027" s="45"/>
    </row>
    <row r="1028">
      <c r="E1028" s="45"/>
    </row>
    <row r="1029">
      <c r="E1029" s="45"/>
    </row>
    <row r="1030">
      <c r="E1030" s="45"/>
    </row>
    <row r="1031">
      <c r="E1031" s="45"/>
    </row>
    <row r="1032">
      <c r="E1032" s="45"/>
    </row>
    <row r="1033">
      <c r="E1033" s="45"/>
    </row>
    <row r="1034">
      <c r="E1034" s="45"/>
    </row>
    <row r="1035">
      <c r="E1035" s="45"/>
    </row>
    <row r="1036">
      <c r="E1036" s="45"/>
    </row>
    <row r="1037">
      <c r="E1037" s="45"/>
    </row>
    <row r="1038">
      <c r="E1038" s="45"/>
    </row>
    <row r="1039">
      <c r="E1039" s="45"/>
    </row>
    <row r="1040">
      <c r="E1040" s="45"/>
    </row>
    <row r="1041">
      <c r="E1041" s="45"/>
    </row>
    <row r="1042">
      <c r="E1042" s="45"/>
    </row>
    <row r="1043">
      <c r="E1043" s="45"/>
    </row>
    <row r="1044">
      <c r="E1044" s="45"/>
    </row>
    <row r="1045">
      <c r="E1045" s="45"/>
    </row>
    <row r="1046">
      <c r="E1046" s="45"/>
    </row>
    <row r="1047">
      <c r="E1047" s="45"/>
    </row>
    <row r="1048">
      <c r="E1048" s="45"/>
    </row>
    <row r="1049">
      <c r="E1049" s="45"/>
    </row>
    <row r="1050">
      <c r="E1050" s="4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  <col customWidth="1" min="6" max="6" width="13.75"/>
  </cols>
  <sheetData>
    <row r="1">
      <c r="A1" s="49" t="s">
        <v>139</v>
      </c>
      <c r="B1" s="50"/>
      <c r="C1" s="50"/>
      <c r="D1" s="51">
        <v>4713500.0</v>
      </c>
      <c r="E1" s="52"/>
      <c r="F1" s="52"/>
    </row>
    <row r="2">
      <c r="A2" s="53" t="s">
        <v>140</v>
      </c>
      <c r="B2" s="54"/>
      <c r="C2" s="54"/>
      <c r="D2" s="55">
        <v>1568500.0</v>
      </c>
      <c r="E2" s="56"/>
      <c r="F2" s="57"/>
    </row>
    <row r="3">
      <c r="A3" s="53" t="s">
        <v>141</v>
      </c>
      <c r="B3" s="54"/>
      <c r="C3" s="54"/>
      <c r="D3" s="55">
        <v>36000.0</v>
      </c>
      <c r="E3" s="56"/>
      <c r="F3" s="57"/>
    </row>
    <row r="4">
      <c r="A4" s="53" t="s">
        <v>142</v>
      </c>
      <c r="B4" s="54"/>
      <c r="C4" s="54"/>
      <c r="D4" s="55">
        <v>600000.0</v>
      </c>
      <c r="E4" s="56"/>
      <c r="F4" s="56"/>
    </row>
    <row r="5">
      <c r="A5" s="53" t="s">
        <v>143</v>
      </c>
      <c r="B5" s="54"/>
      <c r="C5" s="54"/>
      <c r="D5" s="55">
        <v>573200.0</v>
      </c>
      <c r="E5" s="56"/>
      <c r="F5" s="56"/>
    </row>
    <row r="6">
      <c r="A6" s="56"/>
      <c r="B6" s="56"/>
      <c r="C6" s="56"/>
      <c r="D6" s="56"/>
      <c r="E6" s="56"/>
      <c r="F6" s="56"/>
    </row>
    <row r="7">
      <c r="A7" s="58" t="s">
        <v>144</v>
      </c>
      <c r="B7" s="59"/>
      <c r="C7" s="59"/>
      <c r="D7" s="60">
        <f>D1+D2+D4+D5-D3</f>
        <v>7419200</v>
      </c>
      <c r="E7" s="56"/>
      <c r="F7" s="56"/>
    </row>
    <row r="8">
      <c r="A8" s="56"/>
      <c r="B8" s="56"/>
      <c r="C8" s="56"/>
      <c r="D8" s="56"/>
      <c r="E8" s="56"/>
      <c r="F8" s="56"/>
    </row>
    <row r="9">
      <c r="A9" s="57" t="s">
        <v>145</v>
      </c>
      <c r="B9" s="57" t="s">
        <v>146</v>
      </c>
      <c r="C9" s="56"/>
      <c r="D9" s="57" t="s">
        <v>147</v>
      </c>
    </row>
    <row r="11">
      <c r="B11" s="61" t="s">
        <v>148</v>
      </c>
      <c r="C11" s="62"/>
    </row>
    <row r="12">
      <c r="B12" s="3" t="s">
        <v>149</v>
      </c>
      <c r="C12" s="3">
        <f>400000+3000+65000</f>
        <v>468000</v>
      </c>
    </row>
    <row r="13">
      <c r="B13" s="3" t="s">
        <v>150</v>
      </c>
      <c r="C13" s="3">
        <f>190000+137000+17000+12000+20000-200000+72000+50000+20000-33000</f>
        <v>285000</v>
      </c>
    </row>
    <row r="14">
      <c r="B14" s="3" t="s">
        <v>151</v>
      </c>
      <c r="C14" s="3">
        <v>3000.0</v>
      </c>
    </row>
    <row r="15">
      <c r="B15" s="3" t="s">
        <v>152</v>
      </c>
      <c r="C15" s="3">
        <v>20000.0</v>
      </c>
    </row>
    <row r="16">
      <c r="B16" s="3" t="s">
        <v>153</v>
      </c>
      <c r="C16" s="3">
        <v>5000.0</v>
      </c>
    </row>
    <row r="17">
      <c r="B17" s="3" t="s">
        <v>154</v>
      </c>
      <c r="C17" s="3">
        <f>490000-250000-100000</f>
        <v>140000</v>
      </c>
    </row>
    <row r="18">
      <c r="B18" s="3" t="s">
        <v>155</v>
      </c>
      <c r="C18" s="40">
        <f>198000+55000-47000-105000+250000</f>
        <v>351000</v>
      </c>
    </row>
    <row r="19">
      <c r="B19" s="3" t="s">
        <v>156</v>
      </c>
      <c r="C19" s="40">
        <f>46000+1500</f>
        <v>47500</v>
      </c>
    </row>
    <row r="20">
      <c r="B20" s="3" t="s">
        <v>157</v>
      </c>
      <c r="C20" s="40">
        <v>22000.0</v>
      </c>
    </row>
    <row r="21">
      <c r="B21" s="3" t="s">
        <v>158</v>
      </c>
      <c r="C21" s="40">
        <v>122000.0</v>
      </c>
    </row>
    <row r="22">
      <c r="B22" s="3" t="s">
        <v>159</v>
      </c>
      <c r="C22" s="40">
        <v>70000.0</v>
      </c>
    </row>
    <row r="23">
      <c r="B23" s="3" t="s">
        <v>13</v>
      </c>
      <c r="C23" s="40">
        <v>35000.0</v>
      </c>
    </row>
    <row r="24">
      <c r="C24" s="44"/>
      <c r="D24" s="44"/>
    </row>
    <row r="25">
      <c r="B25" s="63" t="s">
        <v>160</v>
      </c>
      <c r="C25" s="62"/>
    </row>
    <row r="26">
      <c r="B26" s="3" t="s">
        <v>161</v>
      </c>
      <c r="C26" s="3">
        <f>sum(C12:C23)</f>
        <v>1568500</v>
      </c>
    </row>
    <row r="27">
      <c r="D27" s="44"/>
    </row>
    <row r="29">
      <c r="C29" s="64"/>
      <c r="D29" s="65" t="s">
        <v>162</v>
      </c>
    </row>
    <row r="30">
      <c r="D30" s="66" t="s">
        <v>163</v>
      </c>
      <c r="E30" s="66">
        <f>33000</f>
        <v>33000</v>
      </c>
    </row>
    <row r="31">
      <c r="D31" s="66" t="s">
        <v>164</v>
      </c>
      <c r="E31" s="66">
        <v>3000.0</v>
      </c>
    </row>
    <row r="32">
      <c r="D32" s="66"/>
      <c r="E32" s="66"/>
      <c r="I32" s="3"/>
    </row>
    <row r="34">
      <c r="D34" s="65" t="s">
        <v>160</v>
      </c>
    </row>
    <row r="35">
      <c r="D35" s="44" t="s">
        <v>161</v>
      </c>
      <c r="E35" s="44">
        <f>sum(E30:E32)</f>
        <v>36000</v>
      </c>
    </row>
    <row r="36">
      <c r="C36" s="44"/>
    </row>
    <row r="38">
      <c r="C38" s="48"/>
    </row>
    <row r="41">
      <c r="D41" s="44"/>
    </row>
    <row r="42">
      <c r="E42" s="44"/>
    </row>
    <row r="44">
      <c r="C44" s="44"/>
    </row>
    <row r="50">
      <c r="F50" s="45"/>
    </row>
  </sheetData>
  <mergeCells count="5">
    <mergeCell ref="D9:F9"/>
    <mergeCell ref="B11:C11"/>
    <mergeCell ref="B25:C25"/>
    <mergeCell ref="D29:E29"/>
    <mergeCell ref="D34:E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3" max="3" width="21.63"/>
    <col customWidth="1" min="4" max="4" width="23.5"/>
    <col customWidth="1" min="6" max="6" width="15.13"/>
    <col customWidth="1" min="7" max="7" width="20.75"/>
    <col customWidth="1" min="10" max="10" width="14.38"/>
  </cols>
  <sheetData>
    <row r="1">
      <c r="A1" s="67" t="s">
        <v>165</v>
      </c>
      <c r="B1" s="68" t="s">
        <v>166</v>
      </c>
      <c r="C1" s="69" t="s">
        <v>0</v>
      </c>
      <c r="D1" s="70" t="s">
        <v>167</v>
      </c>
      <c r="E1" s="69" t="s">
        <v>168</v>
      </c>
      <c r="F1" s="69" t="s">
        <v>169</v>
      </c>
      <c r="G1" s="69" t="s">
        <v>170</v>
      </c>
      <c r="H1" s="71" t="s">
        <v>171</v>
      </c>
      <c r="I1" s="69" t="s">
        <v>172</v>
      </c>
      <c r="J1" s="69" t="s">
        <v>173</v>
      </c>
      <c r="K1" s="72" t="s">
        <v>174</v>
      </c>
      <c r="L1" s="73"/>
      <c r="M1" s="73"/>
      <c r="N1" s="73"/>
      <c r="O1" s="73"/>
    </row>
    <row r="2">
      <c r="A2" s="74"/>
      <c r="B2" s="75">
        <v>45992.0</v>
      </c>
      <c r="C2" s="76" t="s">
        <v>175</v>
      </c>
      <c r="D2" s="77"/>
      <c r="E2" s="78">
        <v>147000.0</v>
      </c>
      <c r="F2" s="79">
        <v>175000.0</v>
      </c>
      <c r="G2" s="80" t="s">
        <v>176</v>
      </c>
      <c r="H2" s="80" t="s">
        <v>177</v>
      </c>
      <c r="I2" s="79">
        <v>28000.0</v>
      </c>
      <c r="J2" s="81"/>
      <c r="K2" s="80"/>
      <c r="L2" s="73"/>
      <c r="M2" s="73"/>
      <c r="N2" s="73"/>
      <c r="O2" s="73"/>
    </row>
    <row r="3">
      <c r="A3" s="74"/>
      <c r="B3" s="75">
        <v>45993.0</v>
      </c>
      <c r="C3" s="76" t="s">
        <v>64</v>
      </c>
      <c r="D3" s="82"/>
      <c r="E3" s="78">
        <v>183000.0</v>
      </c>
      <c r="F3" s="79">
        <v>203000.0</v>
      </c>
      <c r="G3" s="80" t="s">
        <v>178</v>
      </c>
      <c r="H3" s="80" t="s">
        <v>139</v>
      </c>
      <c r="I3" s="79">
        <v>20000.0</v>
      </c>
      <c r="J3" s="81"/>
      <c r="K3" s="81"/>
      <c r="L3" s="73"/>
      <c r="M3" s="73"/>
      <c r="N3" s="73"/>
      <c r="O3" s="73"/>
    </row>
    <row r="4">
      <c r="A4" s="74"/>
      <c r="B4" s="75">
        <v>45995.0</v>
      </c>
      <c r="C4" s="76" t="s">
        <v>179</v>
      </c>
      <c r="D4" s="82"/>
      <c r="E4" s="78">
        <v>15000.0</v>
      </c>
      <c r="F4" s="79">
        <v>20000.0</v>
      </c>
      <c r="G4" s="80" t="s">
        <v>180</v>
      </c>
      <c r="H4" s="80" t="s">
        <v>34</v>
      </c>
      <c r="I4" s="79">
        <v>5000.0</v>
      </c>
      <c r="J4" s="81"/>
      <c r="K4" s="81"/>
      <c r="L4" s="73"/>
      <c r="M4" s="73"/>
      <c r="N4" s="73"/>
      <c r="O4" s="73"/>
    </row>
    <row r="5">
      <c r="A5" s="74"/>
      <c r="B5" s="75"/>
      <c r="C5" s="76" t="s">
        <v>181</v>
      </c>
      <c r="D5" s="82"/>
      <c r="E5" s="78">
        <v>53000.0</v>
      </c>
      <c r="F5" s="79">
        <v>65000.0</v>
      </c>
      <c r="G5" s="80" t="s">
        <v>182</v>
      </c>
      <c r="H5" s="80" t="s">
        <v>177</v>
      </c>
      <c r="I5" s="79">
        <v>12000.0</v>
      </c>
      <c r="J5" s="81"/>
      <c r="K5" s="81"/>
      <c r="L5" s="73"/>
      <c r="M5" s="73"/>
      <c r="N5" s="73"/>
      <c r="O5" s="73"/>
    </row>
    <row r="6">
      <c r="A6" s="74"/>
      <c r="B6" s="75"/>
      <c r="C6" s="76" t="s">
        <v>183</v>
      </c>
      <c r="D6" s="82"/>
      <c r="E6" s="78">
        <v>25000.0</v>
      </c>
      <c r="F6" s="79">
        <v>38000.0</v>
      </c>
      <c r="G6" s="80" t="s">
        <v>182</v>
      </c>
      <c r="H6" s="80" t="s">
        <v>139</v>
      </c>
      <c r="I6" s="79">
        <v>13000.0</v>
      </c>
      <c r="J6" s="81"/>
      <c r="K6" s="81"/>
      <c r="L6" s="73"/>
      <c r="M6" s="73"/>
      <c r="N6" s="73"/>
      <c r="O6" s="73"/>
    </row>
    <row r="7">
      <c r="A7" s="74"/>
      <c r="B7" s="75">
        <v>45995.0</v>
      </c>
      <c r="C7" s="76" t="s">
        <v>179</v>
      </c>
      <c r="D7" s="82"/>
      <c r="E7" s="78">
        <v>15000.0</v>
      </c>
      <c r="F7" s="79">
        <v>20000.0</v>
      </c>
      <c r="G7" s="80" t="s">
        <v>180</v>
      </c>
      <c r="H7" s="80" t="s">
        <v>34</v>
      </c>
      <c r="I7" s="79">
        <v>5000.0</v>
      </c>
      <c r="J7" s="81"/>
      <c r="K7" s="81"/>
      <c r="L7" s="73"/>
      <c r="M7" s="73"/>
      <c r="N7" s="73"/>
      <c r="O7" s="73"/>
    </row>
    <row r="8">
      <c r="A8" s="74"/>
      <c r="B8" s="75">
        <v>45998.0</v>
      </c>
      <c r="C8" s="76" t="s">
        <v>184</v>
      </c>
      <c r="D8" s="82"/>
      <c r="E8" s="78">
        <v>150000.0</v>
      </c>
      <c r="F8" s="80">
        <v>175000.0</v>
      </c>
      <c r="G8" s="80" t="s">
        <v>13</v>
      </c>
      <c r="H8" s="79" t="s">
        <v>177</v>
      </c>
      <c r="I8" s="79">
        <v>25000.0</v>
      </c>
      <c r="J8" s="81"/>
      <c r="K8" s="81"/>
      <c r="L8" s="73"/>
      <c r="M8" s="73"/>
      <c r="N8" s="73"/>
      <c r="O8" s="73"/>
    </row>
    <row r="9">
      <c r="A9" s="74"/>
      <c r="B9" s="75"/>
      <c r="C9" s="76"/>
      <c r="D9" s="82"/>
      <c r="E9" s="78"/>
      <c r="F9" s="79"/>
      <c r="G9" s="80"/>
      <c r="H9" s="80"/>
      <c r="I9" s="79"/>
      <c r="J9" s="81"/>
      <c r="K9" s="81"/>
      <c r="L9" s="73"/>
      <c r="M9" s="73"/>
      <c r="N9" s="73"/>
      <c r="O9" s="73"/>
    </row>
    <row r="10">
      <c r="A10" s="74"/>
      <c r="B10" s="75"/>
      <c r="C10" s="76"/>
      <c r="D10" s="82"/>
      <c r="E10" s="76"/>
      <c r="F10" s="80"/>
      <c r="G10" s="80"/>
      <c r="H10" s="80"/>
      <c r="I10" s="80"/>
      <c r="J10" s="81"/>
      <c r="K10" s="81"/>
      <c r="L10" s="73"/>
      <c r="M10" s="73"/>
      <c r="N10" s="73"/>
      <c r="O10" s="73"/>
    </row>
    <row r="11">
      <c r="A11" s="74"/>
      <c r="B11" s="75"/>
      <c r="C11" s="76"/>
      <c r="D11" s="82"/>
      <c r="E11" s="78"/>
      <c r="F11" s="79"/>
      <c r="G11" s="80"/>
      <c r="H11" s="80"/>
      <c r="I11" s="80"/>
      <c r="J11" s="81"/>
      <c r="K11" s="81"/>
      <c r="L11" s="73"/>
      <c r="M11" s="73"/>
      <c r="N11" s="73"/>
      <c r="O11" s="73"/>
    </row>
    <row r="12">
      <c r="A12" s="74"/>
      <c r="B12" s="75"/>
      <c r="C12" s="76"/>
      <c r="D12" s="82"/>
      <c r="E12" s="78"/>
      <c r="F12" s="79"/>
      <c r="G12" s="80"/>
      <c r="H12" s="80"/>
      <c r="I12" s="80"/>
      <c r="J12" s="81"/>
      <c r="K12" s="81"/>
      <c r="L12" s="73"/>
      <c r="M12" s="73"/>
      <c r="N12" s="73"/>
      <c r="O12" s="73"/>
    </row>
    <row r="13">
      <c r="A13" s="74"/>
      <c r="B13" s="75"/>
      <c r="C13" s="76"/>
      <c r="D13" s="82"/>
      <c r="E13" s="78"/>
      <c r="F13" s="80"/>
      <c r="G13" s="80"/>
      <c r="H13" s="79"/>
      <c r="I13" s="79"/>
      <c r="J13" s="81"/>
      <c r="K13" s="81"/>
      <c r="L13" s="73"/>
      <c r="M13" s="73"/>
      <c r="N13" s="73"/>
      <c r="O13" s="73"/>
    </row>
    <row r="14">
      <c r="A14" s="74"/>
      <c r="B14" s="75"/>
      <c r="C14" s="76"/>
      <c r="D14" s="83"/>
      <c r="E14" s="78"/>
      <c r="F14" s="79"/>
      <c r="G14" s="80"/>
      <c r="H14" s="80"/>
      <c r="I14" s="79"/>
      <c r="J14" s="81"/>
      <c r="K14" s="81"/>
      <c r="L14" s="73"/>
      <c r="M14" s="73"/>
      <c r="N14" s="73"/>
      <c r="O14" s="73"/>
    </row>
    <row r="15">
      <c r="A15" s="74"/>
      <c r="B15" s="75"/>
      <c r="C15" s="76"/>
      <c r="D15" s="83"/>
      <c r="E15" s="78"/>
      <c r="F15" s="79"/>
      <c r="G15" s="80"/>
      <c r="H15" s="80"/>
      <c r="I15" s="79"/>
      <c r="J15" s="80"/>
      <c r="K15" s="81"/>
      <c r="L15" s="73"/>
      <c r="M15" s="73"/>
      <c r="N15" s="73"/>
      <c r="O15" s="73"/>
    </row>
    <row r="16">
      <c r="A16" s="84"/>
      <c r="B16" s="85" t="s">
        <v>166</v>
      </c>
      <c r="C16" s="86" t="s">
        <v>185</v>
      </c>
      <c r="D16" s="87"/>
      <c r="E16" s="88"/>
      <c r="F16" s="89"/>
      <c r="G16" s="90"/>
      <c r="H16" s="90"/>
      <c r="I16" s="91">
        <f>Sum(I2:I15) </f>
        <v>108000</v>
      </c>
      <c r="J16" s="90"/>
      <c r="K16" s="90"/>
      <c r="L16" s="73"/>
      <c r="M16" s="73"/>
      <c r="N16" s="73"/>
      <c r="O16" s="73"/>
    </row>
    <row r="17">
      <c r="A17" s="74"/>
      <c r="B17" s="75">
        <v>46000.0</v>
      </c>
      <c r="C17" s="76" t="s">
        <v>61</v>
      </c>
      <c r="D17" s="92"/>
      <c r="E17" s="78">
        <v>123000.0</v>
      </c>
      <c r="F17" s="79">
        <v>135000.0</v>
      </c>
      <c r="G17" s="80" t="s">
        <v>13</v>
      </c>
      <c r="H17" s="80" t="s">
        <v>177</v>
      </c>
      <c r="I17" s="79">
        <v>12000.0</v>
      </c>
      <c r="J17" s="93">
        <v>35000.0</v>
      </c>
      <c r="K17" s="81"/>
      <c r="L17" s="73"/>
      <c r="M17" s="73"/>
      <c r="N17" s="73"/>
      <c r="O17" s="73"/>
    </row>
    <row r="18">
      <c r="A18" s="74"/>
      <c r="B18" s="75">
        <v>46000.0</v>
      </c>
      <c r="C18" s="76" t="s">
        <v>186</v>
      </c>
      <c r="D18" s="92"/>
      <c r="E18" s="78">
        <v>25000.0</v>
      </c>
      <c r="F18" s="79">
        <v>50000.0</v>
      </c>
      <c r="G18" s="80" t="s">
        <v>180</v>
      </c>
      <c r="H18" s="80" t="s">
        <v>139</v>
      </c>
      <c r="I18" s="79">
        <v>25000.0</v>
      </c>
      <c r="J18" s="94"/>
      <c r="K18" s="81"/>
      <c r="L18" s="73"/>
      <c r="M18" s="73"/>
      <c r="N18" s="73"/>
      <c r="O18" s="73"/>
    </row>
    <row r="19">
      <c r="A19" s="74"/>
      <c r="B19" s="75">
        <v>46001.0</v>
      </c>
      <c r="C19" s="76" t="s">
        <v>187</v>
      </c>
      <c r="D19" s="92"/>
      <c r="E19" s="78">
        <v>53000.0</v>
      </c>
      <c r="F19" s="79">
        <v>65000.0</v>
      </c>
      <c r="G19" s="80" t="s">
        <v>178</v>
      </c>
      <c r="H19" s="80" t="s">
        <v>188</v>
      </c>
      <c r="I19" s="79">
        <v>12000.0</v>
      </c>
      <c r="J19" s="94"/>
      <c r="K19" s="81"/>
      <c r="L19" s="73"/>
      <c r="M19" s="73"/>
      <c r="N19" s="73"/>
      <c r="O19" s="73"/>
    </row>
    <row r="20">
      <c r="A20" s="74"/>
      <c r="B20" s="75">
        <v>46001.0</v>
      </c>
      <c r="C20" s="76" t="s">
        <v>189</v>
      </c>
      <c r="D20" s="92"/>
      <c r="E20" s="78">
        <v>20000.0</v>
      </c>
      <c r="F20" s="79">
        <v>28000.0</v>
      </c>
      <c r="G20" s="80" t="s">
        <v>190</v>
      </c>
      <c r="H20" s="80" t="s">
        <v>177</v>
      </c>
      <c r="I20" s="79">
        <v>8000.0</v>
      </c>
      <c r="J20" s="95"/>
      <c r="K20" s="81"/>
      <c r="L20" s="73"/>
      <c r="M20" s="73"/>
      <c r="N20" s="73"/>
      <c r="O20" s="73"/>
    </row>
    <row r="21">
      <c r="A21" s="74"/>
      <c r="B21" s="75">
        <v>46001.0</v>
      </c>
      <c r="C21" s="76" t="s">
        <v>191</v>
      </c>
      <c r="D21" s="82"/>
      <c r="E21" s="78">
        <v>235000.0</v>
      </c>
      <c r="F21" s="79">
        <v>270000.0</v>
      </c>
      <c r="G21" s="80" t="s">
        <v>180</v>
      </c>
      <c r="H21" s="80" t="s">
        <v>177</v>
      </c>
      <c r="I21" s="79">
        <v>35000.0</v>
      </c>
      <c r="J21" s="80"/>
      <c r="K21" s="80"/>
      <c r="L21" s="73"/>
      <c r="M21" s="73"/>
      <c r="N21" s="73"/>
      <c r="O21" s="73"/>
    </row>
    <row r="22">
      <c r="A22" s="74"/>
      <c r="B22" s="75">
        <v>46002.0</v>
      </c>
      <c r="C22" s="76" t="s">
        <v>192</v>
      </c>
      <c r="D22" s="77"/>
      <c r="E22" s="78">
        <v>130000.0</v>
      </c>
      <c r="F22" s="79">
        <v>155000.0</v>
      </c>
      <c r="G22" s="80" t="s">
        <v>180</v>
      </c>
      <c r="H22" s="80" t="s">
        <v>139</v>
      </c>
      <c r="I22" s="79">
        <v>25000.0</v>
      </c>
      <c r="J22" s="80"/>
      <c r="K22" s="81"/>
      <c r="L22" s="73"/>
      <c r="M22" s="73"/>
      <c r="N22" s="73"/>
      <c r="O22" s="73"/>
    </row>
    <row r="23">
      <c r="A23" s="74"/>
      <c r="B23" s="75">
        <v>46002.0</v>
      </c>
      <c r="C23" s="76" t="s">
        <v>191</v>
      </c>
      <c r="D23" s="77"/>
      <c r="E23" s="78">
        <v>330000.0</v>
      </c>
      <c r="F23" s="79">
        <v>350000.0</v>
      </c>
      <c r="G23" s="80" t="s">
        <v>180</v>
      </c>
      <c r="H23" s="80" t="s">
        <v>139</v>
      </c>
      <c r="I23" s="79">
        <v>20000.0</v>
      </c>
      <c r="J23" s="80"/>
      <c r="K23" s="81"/>
      <c r="L23" s="73"/>
      <c r="M23" s="73"/>
      <c r="N23" s="73"/>
      <c r="O23" s="73"/>
    </row>
    <row r="24">
      <c r="A24" s="74"/>
      <c r="B24" s="75">
        <v>46003.0</v>
      </c>
      <c r="C24" s="76" t="s">
        <v>82</v>
      </c>
      <c r="D24" s="77"/>
      <c r="E24" s="78">
        <v>215000.0</v>
      </c>
      <c r="F24" s="79">
        <v>243000.0</v>
      </c>
      <c r="G24" s="80" t="s">
        <v>180</v>
      </c>
      <c r="H24" s="80" t="s">
        <v>139</v>
      </c>
      <c r="I24" s="79">
        <v>28000.0</v>
      </c>
      <c r="J24" s="81"/>
      <c r="K24" s="81"/>
      <c r="L24" s="73"/>
      <c r="M24" s="73"/>
      <c r="N24" s="73"/>
      <c r="O24" s="73"/>
    </row>
    <row r="25">
      <c r="A25" s="74"/>
      <c r="B25" s="75">
        <v>46003.0</v>
      </c>
      <c r="C25" s="76" t="s">
        <v>191</v>
      </c>
      <c r="D25" s="77"/>
      <c r="E25" s="78">
        <v>303000.0</v>
      </c>
      <c r="F25" s="79">
        <v>320000.0</v>
      </c>
      <c r="G25" s="80" t="s">
        <v>180</v>
      </c>
      <c r="H25" s="80" t="s">
        <v>46</v>
      </c>
      <c r="I25" s="79">
        <v>17000.0</v>
      </c>
      <c r="J25" s="81"/>
      <c r="K25" s="81"/>
      <c r="L25" s="73"/>
      <c r="M25" s="73"/>
      <c r="N25" s="73"/>
      <c r="O25" s="73"/>
    </row>
    <row r="26">
      <c r="A26" s="74"/>
      <c r="B26" s="75">
        <v>46004.0</v>
      </c>
      <c r="C26" s="76" t="s">
        <v>193</v>
      </c>
      <c r="D26" s="96"/>
      <c r="E26" s="78">
        <v>25000.0</v>
      </c>
      <c r="F26" s="79">
        <v>26000.0</v>
      </c>
      <c r="G26" s="80" t="s">
        <v>180</v>
      </c>
      <c r="H26" s="80" t="s">
        <v>34</v>
      </c>
      <c r="I26" s="79">
        <v>1000.0</v>
      </c>
      <c r="J26" s="81"/>
      <c r="K26" s="81"/>
      <c r="L26" s="73"/>
      <c r="M26" s="73"/>
      <c r="N26" s="73"/>
      <c r="O26" s="73"/>
    </row>
    <row r="27">
      <c r="A27" s="74"/>
      <c r="B27" s="75">
        <v>46004.0</v>
      </c>
      <c r="C27" s="76" t="s">
        <v>193</v>
      </c>
      <c r="D27" s="82"/>
      <c r="E27" s="78">
        <v>25000.0</v>
      </c>
      <c r="F27" s="80">
        <v>26000.0</v>
      </c>
      <c r="G27" s="80" t="s">
        <v>180</v>
      </c>
      <c r="H27" s="80" t="s">
        <v>34</v>
      </c>
      <c r="I27" s="80">
        <v>1000.0</v>
      </c>
      <c r="J27" s="81"/>
      <c r="K27" s="81"/>
      <c r="L27" s="73"/>
      <c r="M27" s="73"/>
      <c r="N27" s="73"/>
      <c r="O27" s="73"/>
    </row>
    <row r="28">
      <c r="A28" s="74"/>
      <c r="B28" s="75">
        <v>46004.0</v>
      </c>
      <c r="C28" s="76" t="s">
        <v>192</v>
      </c>
      <c r="D28" s="83"/>
      <c r="E28" s="78">
        <v>105000.0</v>
      </c>
      <c r="F28" s="79">
        <v>115000.0</v>
      </c>
      <c r="G28" s="80" t="s">
        <v>180</v>
      </c>
      <c r="H28" s="80" t="s">
        <v>194</v>
      </c>
      <c r="I28" s="80">
        <v>10000.0</v>
      </c>
      <c r="J28" s="81"/>
      <c r="K28" s="81"/>
      <c r="L28" s="73"/>
      <c r="M28" s="73"/>
      <c r="N28" s="73"/>
      <c r="O28" s="73"/>
    </row>
    <row r="29">
      <c r="A29" s="84"/>
      <c r="B29" s="85" t="s">
        <v>166</v>
      </c>
      <c r="C29" s="86" t="s">
        <v>185</v>
      </c>
      <c r="D29" s="97"/>
      <c r="E29" s="88"/>
      <c r="F29" s="89"/>
      <c r="G29" s="90"/>
      <c r="H29" s="98" t="s">
        <v>195</v>
      </c>
      <c r="I29" s="99">
        <f>Sum(I17:I28) </f>
        <v>194000</v>
      </c>
      <c r="J29" s="90"/>
      <c r="K29" s="90"/>
      <c r="L29" s="73"/>
      <c r="M29" s="73"/>
      <c r="N29" s="73"/>
      <c r="O29" s="73"/>
    </row>
    <row r="30">
      <c r="A30" s="74"/>
      <c r="B30" s="75">
        <v>46006.0</v>
      </c>
      <c r="C30" s="76" t="s">
        <v>196</v>
      </c>
      <c r="D30" s="100"/>
      <c r="E30" s="78">
        <v>152000.0</v>
      </c>
      <c r="F30" s="79">
        <v>160000.0</v>
      </c>
      <c r="G30" s="80" t="s">
        <v>180</v>
      </c>
      <c r="H30" s="80" t="s">
        <v>197</v>
      </c>
      <c r="I30" s="79">
        <v>8000.0</v>
      </c>
      <c r="J30" s="80" t="s">
        <v>198</v>
      </c>
      <c r="K30" s="81"/>
      <c r="L30" s="73"/>
      <c r="M30" s="73"/>
      <c r="N30" s="73"/>
      <c r="O30" s="73"/>
    </row>
    <row r="31">
      <c r="A31" s="74"/>
      <c r="B31" s="75">
        <v>46009.0</v>
      </c>
      <c r="C31" s="76" t="s">
        <v>199</v>
      </c>
      <c r="D31" s="100"/>
      <c r="E31" s="78">
        <v>5500.0</v>
      </c>
      <c r="F31" s="79">
        <v>7000.0</v>
      </c>
      <c r="G31" s="80" t="s">
        <v>200</v>
      </c>
      <c r="H31" s="80" t="s">
        <v>46</v>
      </c>
      <c r="I31" s="79">
        <v>1500.0</v>
      </c>
      <c r="J31" s="81"/>
      <c r="K31" s="81"/>
      <c r="L31" s="73"/>
      <c r="M31" s="73"/>
      <c r="N31" s="73"/>
      <c r="O31" s="73"/>
    </row>
    <row r="32">
      <c r="A32" s="74"/>
      <c r="B32" s="75">
        <v>46011.0</v>
      </c>
      <c r="C32" s="76" t="s">
        <v>201</v>
      </c>
      <c r="D32" s="100"/>
      <c r="E32" s="78">
        <v>53000.0</v>
      </c>
      <c r="F32" s="79">
        <v>70000.0</v>
      </c>
      <c r="G32" s="80" t="s">
        <v>180</v>
      </c>
      <c r="H32" s="80" t="s">
        <v>177</v>
      </c>
      <c r="I32" s="79">
        <v>17000.0</v>
      </c>
      <c r="J32" s="81"/>
      <c r="K32" s="81"/>
      <c r="L32" s="73"/>
      <c r="M32" s="73"/>
      <c r="N32" s="73"/>
      <c r="O32" s="73"/>
    </row>
    <row r="33">
      <c r="A33" s="74"/>
      <c r="B33" s="75">
        <v>46011.0</v>
      </c>
      <c r="C33" s="76" t="s">
        <v>202</v>
      </c>
      <c r="D33" s="100"/>
      <c r="E33" s="78">
        <v>150000.0</v>
      </c>
      <c r="F33" s="79">
        <v>218000.0</v>
      </c>
      <c r="G33" s="80" t="s">
        <v>180</v>
      </c>
      <c r="H33" s="80" t="s">
        <v>177</v>
      </c>
      <c r="I33" s="79">
        <v>68000.0</v>
      </c>
      <c r="J33" s="81"/>
      <c r="K33" s="81"/>
      <c r="L33" s="73"/>
      <c r="M33" s="73"/>
      <c r="N33" s="73"/>
      <c r="O33" s="73"/>
    </row>
    <row r="34">
      <c r="A34" s="74"/>
      <c r="B34" s="75"/>
      <c r="C34" s="76"/>
      <c r="D34" s="100"/>
      <c r="E34" s="78"/>
      <c r="F34" s="79"/>
      <c r="G34" s="80"/>
      <c r="H34" s="80"/>
      <c r="I34" s="79"/>
      <c r="J34" s="81"/>
      <c r="K34" s="81"/>
      <c r="L34" s="73"/>
      <c r="M34" s="73"/>
      <c r="N34" s="73"/>
      <c r="O34" s="73"/>
    </row>
    <row r="35">
      <c r="A35" s="74"/>
      <c r="B35" s="75"/>
      <c r="C35" s="76"/>
      <c r="D35" s="100"/>
      <c r="E35" s="78"/>
      <c r="F35" s="79"/>
      <c r="G35" s="80"/>
      <c r="H35" s="80"/>
      <c r="I35" s="79"/>
      <c r="J35" s="81"/>
      <c r="K35" s="81"/>
      <c r="L35" s="73"/>
      <c r="M35" s="73"/>
      <c r="N35" s="73"/>
      <c r="O35" s="73"/>
    </row>
    <row r="36">
      <c r="A36" s="74"/>
      <c r="B36" s="75"/>
      <c r="C36" s="76"/>
      <c r="D36" s="101"/>
      <c r="E36" s="78"/>
      <c r="F36" s="79"/>
      <c r="G36" s="80"/>
      <c r="H36" s="80"/>
      <c r="I36" s="79"/>
      <c r="J36" s="81"/>
      <c r="K36" s="81"/>
      <c r="L36" s="73"/>
      <c r="M36" s="73"/>
      <c r="N36" s="73"/>
      <c r="O36" s="73"/>
    </row>
    <row r="37">
      <c r="A37" s="74"/>
      <c r="B37" s="75"/>
      <c r="C37" s="76"/>
      <c r="D37" s="101"/>
      <c r="E37" s="78"/>
      <c r="F37" s="79"/>
      <c r="G37" s="80"/>
      <c r="H37" s="80"/>
      <c r="I37" s="79"/>
      <c r="J37" s="81"/>
      <c r="K37" s="81"/>
      <c r="L37" s="73"/>
      <c r="M37" s="73"/>
      <c r="N37" s="73"/>
      <c r="O37" s="73"/>
    </row>
    <row r="38">
      <c r="A38" s="74"/>
      <c r="B38" s="75"/>
      <c r="C38" s="76"/>
      <c r="D38" s="101"/>
      <c r="E38" s="78"/>
      <c r="F38" s="79"/>
      <c r="G38" s="80"/>
      <c r="H38" s="80"/>
      <c r="I38" s="79"/>
      <c r="J38" s="80"/>
      <c r="K38" s="81"/>
      <c r="L38" s="73"/>
      <c r="M38" s="73"/>
      <c r="N38" s="73"/>
      <c r="O38" s="73"/>
    </row>
    <row r="39">
      <c r="A39" s="74"/>
      <c r="B39" s="75"/>
      <c r="C39" s="76"/>
      <c r="D39" s="101"/>
      <c r="E39" s="78"/>
      <c r="F39" s="79"/>
      <c r="G39" s="80"/>
      <c r="H39" s="80"/>
      <c r="I39" s="79"/>
      <c r="J39" s="81"/>
      <c r="K39" s="81"/>
      <c r="L39" s="73"/>
      <c r="M39" s="73"/>
      <c r="N39" s="73"/>
      <c r="O39" s="73"/>
    </row>
    <row r="40">
      <c r="A40" s="74"/>
      <c r="B40" s="75"/>
      <c r="C40" s="76"/>
      <c r="D40" s="101"/>
      <c r="E40" s="78"/>
      <c r="F40" s="79"/>
      <c r="G40" s="80"/>
      <c r="H40" s="80"/>
      <c r="I40" s="79"/>
      <c r="J40" s="81"/>
      <c r="K40" s="81"/>
      <c r="L40" s="73"/>
      <c r="M40" s="73"/>
      <c r="N40" s="73"/>
      <c r="O40" s="73"/>
    </row>
    <row r="41">
      <c r="A41" s="74"/>
      <c r="B41" s="75"/>
      <c r="C41" s="76"/>
      <c r="D41" s="101"/>
      <c r="E41" s="78"/>
      <c r="F41" s="80"/>
      <c r="G41" s="80"/>
      <c r="H41" s="80"/>
      <c r="I41" s="79"/>
      <c r="J41" s="81"/>
      <c r="K41" s="81"/>
      <c r="L41" s="73"/>
      <c r="M41" s="73"/>
      <c r="N41" s="73"/>
      <c r="O41" s="73"/>
    </row>
    <row r="42">
      <c r="A42" s="74"/>
      <c r="B42" s="75"/>
      <c r="C42" s="76"/>
      <c r="D42" s="101"/>
      <c r="E42" s="78"/>
      <c r="F42" s="79"/>
      <c r="G42" s="80"/>
      <c r="H42" s="80"/>
      <c r="I42" s="79"/>
      <c r="J42" s="81"/>
      <c r="K42" s="81"/>
      <c r="L42" s="73"/>
      <c r="M42" s="73"/>
      <c r="N42" s="73"/>
      <c r="O42" s="73"/>
    </row>
    <row r="43">
      <c r="A43" s="74"/>
      <c r="B43" s="75"/>
      <c r="C43" s="76"/>
      <c r="D43" s="101"/>
      <c r="E43" s="76"/>
      <c r="F43" s="80"/>
      <c r="G43" s="80"/>
      <c r="H43" s="80"/>
      <c r="I43" s="80"/>
      <c r="J43" s="81"/>
      <c r="K43" s="81"/>
      <c r="L43" s="73"/>
      <c r="M43" s="73"/>
      <c r="N43" s="73"/>
      <c r="O43" s="73"/>
    </row>
    <row r="44">
      <c r="A44" s="74"/>
      <c r="B44" s="75"/>
      <c r="C44" s="76"/>
      <c r="D44" s="101"/>
      <c r="E44" s="76"/>
      <c r="F44" s="80"/>
      <c r="G44" s="80"/>
      <c r="H44" s="80"/>
      <c r="I44" s="80"/>
      <c r="J44" s="81"/>
      <c r="K44" s="81"/>
      <c r="L44" s="73"/>
      <c r="M44" s="73"/>
      <c r="N44" s="73"/>
      <c r="O44" s="73"/>
    </row>
    <row r="45">
      <c r="A45" s="74"/>
      <c r="B45" s="75"/>
      <c r="C45" s="76"/>
      <c r="D45" s="101"/>
      <c r="E45" s="76"/>
      <c r="F45" s="80"/>
      <c r="G45" s="80"/>
      <c r="H45" s="80"/>
      <c r="I45" s="80"/>
      <c r="J45" s="81"/>
      <c r="K45" s="81"/>
      <c r="L45" s="73"/>
      <c r="M45" s="73"/>
      <c r="N45" s="73"/>
      <c r="O45" s="73"/>
    </row>
    <row r="46">
      <c r="A46" s="84"/>
      <c r="B46" s="85" t="s">
        <v>166</v>
      </c>
      <c r="C46" s="86" t="s">
        <v>185</v>
      </c>
      <c r="D46" s="102"/>
      <c r="E46" s="88"/>
      <c r="F46" s="89"/>
      <c r="G46" s="90"/>
      <c r="H46" s="98" t="s">
        <v>195</v>
      </c>
      <c r="I46" s="103">
        <f>sum(I30:I41)</f>
        <v>94500</v>
      </c>
      <c r="J46" s="90"/>
      <c r="K46" s="90"/>
      <c r="L46" s="73"/>
      <c r="M46" s="73"/>
      <c r="N46" s="73"/>
      <c r="O46" s="73"/>
    </row>
    <row r="47">
      <c r="A47" s="74"/>
      <c r="B47" s="75">
        <v>46013.0</v>
      </c>
      <c r="C47" s="76" t="s">
        <v>37</v>
      </c>
      <c r="D47" s="104"/>
      <c r="E47" s="78">
        <v>100000.0</v>
      </c>
      <c r="F47" s="79">
        <v>113000.0</v>
      </c>
      <c r="G47" s="80" t="s">
        <v>200</v>
      </c>
      <c r="H47" s="80" t="s">
        <v>139</v>
      </c>
      <c r="I47" s="79">
        <v>13000.0</v>
      </c>
      <c r="J47" s="81"/>
      <c r="K47" s="81"/>
      <c r="L47" s="73"/>
      <c r="M47" s="73"/>
      <c r="N47" s="73"/>
      <c r="O47" s="73"/>
    </row>
    <row r="48">
      <c r="A48" s="74"/>
      <c r="B48" s="75">
        <v>46014.0</v>
      </c>
      <c r="C48" s="76" t="s">
        <v>191</v>
      </c>
      <c r="D48" s="96"/>
      <c r="E48" s="78">
        <v>200000.0</v>
      </c>
      <c r="F48" s="79">
        <v>263000.0</v>
      </c>
      <c r="G48" s="80" t="s">
        <v>203</v>
      </c>
      <c r="H48" s="80" t="s">
        <v>139</v>
      </c>
      <c r="I48" s="79">
        <v>63000.0</v>
      </c>
      <c r="J48" s="81"/>
      <c r="K48" s="81"/>
      <c r="L48" s="73"/>
      <c r="M48" s="73"/>
      <c r="N48" s="73"/>
      <c r="O48" s="73"/>
    </row>
    <row r="49">
      <c r="A49" s="74"/>
      <c r="B49" s="75">
        <v>46015.0</v>
      </c>
      <c r="C49" s="76" t="s">
        <v>204</v>
      </c>
      <c r="D49" s="105"/>
      <c r="E49" s="78">
        <v>95000.0</v>
      </c>
      <c r="F49" s="79">
        <v>110000.0</v>
      </c>
      <c r="G49" s="80" t="s">
        <v>203</v>
      </c>
      <c r="H49" s="80" t="s">
        <v>177</v>
      </c>
      <c r="I49" s="79">
        <v>15000.0</v>
      </c>
      <c r="J49" s="81"/>
      <c r="K49" s="81"/>
      <c r="L49" s="73"/>
      <c r="M49" s="73"/>
      <c r="N49" s="73"/>
      <c r="O49" s="73"/>
    </row>
    <row r="50">
      <c r="A50" s="74"/>
      <c r="B50" s="75">
        <v>46016.0</v>
      </c>
      <c r="C50" s="76" t="s">
        <v>205</v>
      </c>
      <c r="D50" s="105"/>
      <c r="E50" s="78">
        <v>120000.0</v>
      </c>
      <c r="F50" s="79">
        <v>130000.0</v>
      </c>
      <c r="G50" s="80" t="s">
        <v>180</v>
      </c>
      <c r="H50" s="80" t="s">
        <v>139</v>
      </c>
      <c r="I50" s="80">
        <v>10000.0</v>
      </c>
      <c r="J50" s="81"/>
      <c r="K50" s="81"/>
      <c r="L50" s="73"/>
      <c r="M50" s="73"/>
      <c r="N50" s="73"/>
      <c r="O50" s="73"/>
    </row>
    <row r="51">
      <c r="A51" s="74"/>
      <c r="B51" s="75">
        <v>46016.0</v>
      </c>
      <c r="C51" s="76" t="s">
        <v>206</v>
      </c>
      <c r="D51" s="82"/>
      <c r="E51" s="78">
        <v>20000.0</v>
      </c>
      <c r="F51" s="79">
        <v>45000.0</v>
      </c>
      <c r="G51" s="80" t="s">
        <v>207</v>
      </c>
      <c r="H51" s="80" t="s">
        <v>139</v>
      </c>
      <c r="I51" s="79">
        <v>25000.0</v>
      </c>
      <c r="J51" s="81"/>
      <c r="K51" s="81"/>
      <c r="L51" s="73"/>
      <c r="M51" s="73"/>
      <c r="N51" s="73"/>
      <c r="O51" s="73"/>
    </row>
    <row r="52">
      <c r="A52" s="74"/>
      <c r="B52" s="75">
        <v>46017.0</v>
      </c>
      <c r="C52" s="76" t="s">
        <v>208</v>
      </c>
      <c r="D52" s="77"/>
      <c r="E52" s="78">
        <v>130000.0</v>
      </c>
      <c r="F52" s="79">
        <v>145000.0</v>
      </c>
      <c r="G52" s="80" t="s">
        <v>209</v>
      </c>
      <c r="H52" s="80" t="s">
        <v>139</v>
      </c>
      <c r="I52" s="79">
        <v>15000.0</v>
      </c>
      <c r="J52" s="81"/>
      <c r="K52" s="81"/>
      <c r="L52" s="73"/>
      <c r="M52" s="73"/>
      <c r="N52" s="73"/>
      <c r="O52" s="73"/>
    </row>
    <row r="53">
      <c r="A53" s="74"/>
      <c r="B53" s="75">
        <v>46018.0</v>
      </c>
      <c r="C53" s="76" t="s">
        <v>210</v>
      </c>
      <c r="D53" s="96"/>
      <c r="E53" s="78">
        <v>55000.0</v>
      </c>
      <c r="F53" s="80">
        <v>58000.0</v>
      </c>
      <c r="G53" s="80" t="s">
        <v>180</v>
      </c>
      <c r="H53" s="80" t="s">
        <v>197</v>
      </c>
      <c r="I53" s="80">
        <v>3000.0</v>
      </c>
      <c r="J53" s="81"/>
      <c r="K53" s="81"/>
      <c r="L53" s="73"/>
      <c r="M53" s="73"/>
      <c r="N53" s="73"/>
      <c r="O53" s="73"/>
    </row>
    <row r="54">
      <c r="A54" s="74"/>
      <c r="B54" s="75">
        <v>46018.0</v>
      </c>
      <c r="C54" s="76" t="s">
        <v>191</v>
      </c>
      <c r="D54" s="96"/>
      <c r="E54" s="78">
        <v>270000.0</v>
      </c>
      <c r="F54" s="80">
        <v>285000.0</v>
      </c>
      <c r="G54" s="80" t="s">
        <v>180</v>
      </c>
      <c r="H54" s="80" t="s">
        <v>211</v>
      </c>
      <c r="I54" s="79">
        <v>15000.0</v>
      </c>
      <c r="J54" s="81"/>
      <c r="K54" s="81"/>
      <c r="L54" s="73"/>
      <c r="M54" s="73"/>
      <c r="N54" s="73"/>
      <c r="O54" s="73"/>
    </row>
    <row r="55">
      <c r="A55" s="74"/>
      <c r="B55" s="75"/>
      <c r="C55" s="76"/>
      <c r="D55" s="96"/>
      <c r="E55" s="78"/>
      <c r="F55" s="79"/>
      <c r="G55" s="80"/>
      <c r="H55" s="80"/>
      <c r="I55" s="79"/>
      <c r="J55" s="81"/>
      <c r="K55" s="81"/>
      <c r="L55" s="73"/>
      <c r="M55" s="73"/>
      <c r="N55" s="73"/>
      <c r="O55" s="73"/>
    </row>
    <row r="56">
      <c r="A56" s="74"/>
      <c r="B56" s="75"/>
      <c r="C56" s="76"/>
      <c r="D56" s="96"/>
      <c r="E56" s="78"/>
      <c r="F56" s="79"/>
      <c r="G56" s="80"/>
      <c r="H56" s="80"/>
      <c r="I56" s="80"/>
      <c r="J56" s="81"/>
      <c r="K56" s="81"/>
      <c r="L56" s="73"/>
      <c r="M56" s="73"/>
      <c r="N56" s="73"/>
      <c r="O56" s="73"/>
    </row>
    <row r="57">
      <c r="A57" s="74"/>
      <c r="B57" s="75"/>
      <c r="C57" s="76"/>
      <c r="D57" s="96"/>
      <c r="E57" s="76"/>
      <c r="F57" s="80"/>
      <c r="G57" s="80"/>
      <c r="H57" s="80"/>
      <c r="I57" s="80"/>
      <c r="J57" s="81"/>
      <c r="K57" s="81"/>
      <c r="L57" s="73"/>
      <c r="M57" s="73"/>
      <c r="N57" s="73"/>
      <c r="O57" s="73"/>
    </row>
    <row r="58">
      <c r="A58" s="74"/>
      <c r="B58" s="75"/>
      <c r="C58" s="76"/>
      <c r="D58" s="96"/>
      <c r="E58" s="78"/>
      <c r="F58" s="79"/>
      <c r="G58" s="80"/>
      <c r="H58" s="80"/>
      <c r="I58" s="80"/>
      <c r="J58" s="80"/>
      <c r="K58" s="81"/>
      <c r="L58" s="73"/>
      <c r="M58" s="73"/>
      <c r="N58" s="73"/>
      <c r="O58" s="73"/>
    </row>
    <row r="59">
      <c r="A59" s="74"/>
      <c r="B59" s="75"/>
      <c r="C59" s="76"/>
      <c r="D59" s="96"/>
      <c r="E59" s="78"/>
      <c r="F59" s="79"/>
      <c r="G59" s="80"/>
      <c r="H59" s="80"/>
      <c r="I59" s="80"/>
      <c r="J59" s="80"/>
      <c r="K59" s="81"/>
      <c r="L59" s="73"/>
      <c r="M59" s="73"/>
      <c r="N59" s="73"/>
      <c r="O59" s="73"/>
    </row>
    <row r="60">
      <c r="A60" s="74"/>
      <c r="B60" s="75"/>
      <c r="C60" s="76"/>
      <c r="D60" s="96"/>
      <c r="E60" s="78"/>
      <c r="F60" s="79"/>
      <c r="G60" s="80"/>
      <c r="H60" s="80"/>
      <c r="I60" s="80"/>
      <c r="J60" s="81"/>
      <c r="K60" s="81"/>
      <c r="L60" s="73"/>
      <c r="M60" s="73"/>
      <c r="N60" s="73"/>
      <c r="O60" s="73"/>
    </row>
    <row r="61">
      <c r="A61" s="74"/>
      <c r="B61" s="75"/>
      <c r="C61" s="76"/>
      <c r="D61" s="96"/>
      <c r="E61" s="76"/>
      <c r="F61" s="80"/>
      <c r="G61" s="80"/>
      <c r="H61" s="80"/>
      <c r="I61" s="80"/>
      <c r="J61" s="81"/>
      <c r="K61" s="81"/>
      <c r="L61" s="73"/>
      <c r="M61" s="73"/>
      <c r="N61" s="73"/>
      <c r="O61" s="73"/>
    </row>
    <row r="62">
      <c r="A62" s="74"/>
      <c r="B62" s="75"/>
      <c r="C62" s="76"/>
      <c r="D62" s="96"/>
      <c r="E62" s="78"/>
      <c r="F62" s="80"/>
      <c r="G62" s="80"/>
      <c r="H62" s="80"/>
      <c r="I62" s="80"/>
      <c r="J62" s="81"/>
      <c r="K62" s="81"/>
      <c r="L62" s="73"/>
      <c r="M62" s="73"/>
      <c r="N62" s="73"/>
      <c r="O62" s="73"/>
    </row>
    <row r="63">
      <c r="A63" s="74"/>
      <c r="B63" s="75"/>
      <c r="C63" s="76"/>
      <c r="D63" s="96"/>
      <c r="E63" s="78"/>
      <c r="F63" s="79"/>
      <c r="G63" s="80"/>
      <c r="H63" s="80"/>
      <c r="I63" s="80"/>
      <c r="J63" s="81"/>
      <c r="K63" s="81"/>
      <c r="L63" s="73"/>
      <c r="M63" s="73"/>
      <c r="N63" s="73"/>
      <c r="O63" s="73"/>
    </row>
    <row r="64">
      <c r="A64" s="84"/>
      <c r="B64" s="85" t="s">
        <v>166</v>
      </c>
      <c r="C64" s="86" t="s">
        <v>185</v>
      </c>
      <c r="D64" s="97"/>
      <c r="E64" s="88"/>
      <c r="F64" s="89"/>
      <c r="G64" s="90"/>
      <c r="H64" s="98" t="s">
        <v>195</v>
      </c>
      <c r="I64" s="106">
        <f>sum(I47:I63)</f>
        <v>159000</v>
      </c>
      <c r="J64" s="90"/>
      <c r="K64" s="90"/>
      <c r="L64" s="73"/>
      <c r="M64" s="73"/>
      <c r="N64" s="73"/>
      <c r="O64" s="73"/>
    </row>
    <row r="65">
      <c r="A65" s="74"/>
      <c r="B65" s="75"/>
      <c r="C65" s="107"/>
      <c r="D65" s="83"/>
      <c r="E65" s="107"/>
      <c r="F65" s="108"/>
      <c r="G65" s="80"/>
      <c r="H65" s="108"/>
      <c r="I65" s="80"/>
      <c r="J65" s="109"/>
      <c r="K65" s="109"/>
      <c r="L65" s="73"/>
      <c r="M65" s="73"/>
      <c r="N65" s="73"/>
      <c r="O65" s="73"/>
    </row>
    <row r="66">
      <c r="A66" s="74"/>
      <c r="B66" s="75"/>
      <c r="C66" s="107"/>
      <c r="D66" s="83"/>
      <c r="E66" s="107"/>
      <c r="F66" s="108"/>
      <c r="G66" s="80"/>
      <c r="H66" s="108"/>
      <c r="I66" s="80"/>
      <c r="J66" s="109"/>
      <c r="K66" s="109"/>
      <c r="L66" s="73"/>
      <c r="M66" s="73"/>
      <c r="N66" s="73"/>
      <c r="O66" s="73"/>
    </row>
    <row r="67">
      <c r="A67" s="74"/>
      <c r="B67" s="75"/>
      <c r="C67" s="107"/>
      <c r="D67" s="83"/>
      <c r="E67" s="107"/>
      <c r="F67" s="108"/>
      <c r="G67" s="80"/>
      <c r="H67" s="108"/>
      <c r="I67" s="80"/>
      <c r="J67" s="108"/>
      <c r="K67" s="109"/>
      <c r="L67" s="73"/>
      <c r="M67" s="73"/>
      <c r="N67" s="73"/>
      <c r="O67" s="73"/>
    </row>
    <row r="68">
      <c r="A68" s="74"/>
      <c r="B68" s="75"/>
      <c r="C68" s="107"/>
      <c r="D68" s="83"/>
      <c r="E68" s="110"/>
      <c r="F68" s="108"/>
      <c r="G68" s="80"/>
      <c r="H68" s="108"/>
      <c r="I68" s="80"/>
      <c r="J68" s="109"/>
      <c r="K68" s="109"/>
      <c r="L68" s="73"/>
      <c r="M68" s="73"/>
      <c r="N68" s="73"/>
      <c r="O68" s="73"/>
    </row>
    <row r="69">
      <c r="A69" s="74"/>
      <c r="B69" s="111"/>
      <c r="C69" s="112"/>
      <c r="D69" s="83"/>
      <c r="E69" s="112"/>
      <c r="F69" s="109"/>
      <c r="G69" s="81"/>
      <c r="H69" s="109"/>
      <c r="I69" s="81"/>
      <c r="J69" s="109"/>
      <c r="K69" s="109"/>
      <c r="L69" s="73"/>
      <c r="M69" s="73"/>
      <c r="N69" s="73"/>
      <c r="O69" s="73"/>
    </row>
    <row r="70">
      <c r="A70" s="74"/>
      <c r="B70" s="111"/>
      <c r="C70" s="112"/>
      <c r="D70" s="83"/>
      <c r="E70" s="112"/>
      <c r="F70" s="109"/>
      <c r="G70" s="81"/>
      <c r="H70" s="109"/>
      <c r="I70" s="81"/>
      <c r="J70" s="109"/>
      <c r="K70" s="109"/>
      <c r="L70" s="73"/>
      <c r="M70" s="73"/>
      <c r="N70" s="73"/>
      <c r="O70" s="73"/>
    </row>
    <row r="71">
      <c r="A71" s="74"/>
      <c r="B71" s="111"/>
      <c r="C71" s="112"/>
      <c r="D71" s="83"/>
      <c r="E71" s="112"/>
      <c r="F71" s="109"/>
      <c r="G71" s="81"/>
      <c r="H71" s="109"/>
      <c r="I71" s="81"/>
      <c r="J71" s="109"/>
      <c r="K71" s="109"/>
      <c r="L71" s="73"/>
      <c r="M71" s="73"/>
      <c r="N71" s="73"/>
      <c r="O71" s="73"/>
    </row>
    <row r="72">
      <c r="A72" s="74"/>
      <c r="B72" s="111"/>
      <c r="C72" s="112"/>
      <c r="D72" s="83"/>
      <c r="E72" s="112"/>
      <c r="F72" s="109"/>
      <c r="G72" s="81"/>
      <c r="H72" s="109"/>
      <c r="I72" s="81"/>
      <c r="J72" s="109"/>
      <c r="K72" s="109"/>
      <c r="L72" s="73"/>
      <c r="M72" s="73"/>
      <c r="N72" s="73"/>
      <c r="O72" s="73"/>
    </row>
    <row r="73">
      <c r="A73" s="74"/>
      <c r="B73" s="111"/>
      <c r="C73" s="109"/>
      <c r="D73" s="113"/>
      <c r="E73" s="109"/>
      <c r="F73" s="109"/>
      <c r="G73" s="109"/>
      <c r="H73" s="109"/>
      <c r="I73" s="81"/>
      <c r="J73" s="109"/>
      <c r="K73" s="109"/>
      <c r="L73" s="73"/>
      <c r="M73" s="73"/>
      <c r="N73" s="73"/>
      <c r="O73" s="73"/>
    </row>
    <row r="74">
      <c r="A74" s="84"/>
      <c r="B74" s="85" t="s">
        <v>166</v>
      </c>
      <c r="C74" s="98" t="s">
        <v>185</v>
      </c>
      <c r="D74" s="114"/>
      <c r="E74" s="89"/>
      <c r="F74" s="89"/>
      <c r="G74" s="90"/>
      <c r="H74" s="98" t="s">
        <v>195</v>
      </c>
      <c r="I74" s="115">
        <f>Sum(I65:I72) </f>
        <v>0</v>
      </c>
      <c r="J74" s="90"/>
      <c r="K74" s="90"/>
      <c r="L74" s="73"/>
      <c r="M74" s="73"/>
      <c r="N74" s="73"/>
      <c r="O74" s="73"/>
    </row>
    <row r="75">
      <c r="A75" s="116"/>
      <c r="B75" s="117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</row>
    <row r="76">
      <c r="A76" s="73"/>
      <c r="B76" s="117"/>
      <c r="C76" s="73"/>
      <c r="D76" s="73"/>
      <c r="E76" s="73"/>
      <c r="F76" s="73"/>
      <c r="G76" s="118" t="s">
        <v>212</v>
      </c>
      <c r="H76" s="119"/>
      <c r="I76" s="73"/>
      <c r="J76" s="73"/>
      <c r="K76" s="73"/>
      <c r="L76" s="73"/>
      <c r="M76" s="73"/>
      <c r="N76" s="73"/>
      <c r="O76" s="73"/>
    </row>
    <row r="77">
      <c r="A77" s="73"/>
      <c r="B77" s="117"/>
      <c r="C77" s="73"/>
      <c r="D77" s="73"/>
      <c r="E77" s="73"/>
      <c r="F77" s="73"/>
      <c r="G77" s="120" t="s">
        <v>213</v>
      </c>
      <c r="H77" s="121"/>
      <c r="I77" s="73"/>
      <c r="J77" s="73"/>
      <c r="K77" s="73"/>
      <c r="L77" s="73"/>
      <c r="M77" s="73"/>
      <c r="N77" s="73"/>
      <c r="O77" s="73"/>
    </row>
    <row r="78">
      <c r="A78" s="73"/>
      <c r="B78" s="117"/>
      <c r="C78" s="73"/>
      <c r="D78" s="73"/>
      <c r="E78" s="73"/>
      <c r="F78" s="73"/>
      <c r="G78" s="122" t="s">
        <v>214</v>
      </c>
      <c r="H78" s="121"/>
      <c r="I78" s="73"/>
      <c r="J78" s="73"/>
      <c r="K78" s="73"/>
      <c r="L78" s="73"/>
      <c r="M78" s="73"/>
      <c r="N78" s="73"/>
      <c r="O78" s="73"/>
    </row>
    <row r="79">
      <c r="A79" s="73"/>
      <c r="B79" s="117"/>
      <c r="C79" s="73"/>
      <c r="D79" s="73"/>
      <c r="E79" s="73"/>
      <c r="F79" s="73"/>
      <c r="G79" s="120" t="s">
        <v>215</v>
      </c>
      <c r="H79" s="121"/>
      <c r="I79" s="73"/>
      <c r="J79" s="73"/>
      <c r="K79" s="73"/>
      <c r="L79" s="73"/>
      <c r="M79" s="73"/>
      <c r="N79" s="73"/>
      <c r="O79" s="73"/>
    </row>
    <row r="80">
      <c r="A80" s="73"/>
      <c r="B80" s="117"/>
      <c r="C80" s="73"/>
      <c r="D80" s="73"/>
      <c r="E80" s="73"/>
      <c r="F80" s="73"/>
      <c r="G80" s="120" t="s">
        <v>216</v>
      </c>
      <c r="H80" s="121"/>
      <c r="I80" s="73"/>
      <c r="J80" s="73"/>
      <c r="K80" s="73"/>
      <c r="L80" s="73"/>
      <c r="M80" s="73"/>
      <c r="N80" s="73"/>
      <c r="O80" s="73"/>
    </row>
    <row r="81">
      <c r="A81" s="73"/>
      <c r="B81" s="117"/>
      <c r="C81" s="73"/>
      <c r="D81" s="73"/>
      <c r="E81" s="73"/>
      <c r="F81" s="73"/>
      <c r="G81" s="120" t="s">
        <v>217</v>
      </c>
      <c r="H81" s="123">
        <f>Sum(I16,I29,I46,I64,I74)</f>
        <v>555500</v>
      </c>
      <c r="I81" s="73"/>
      <c r="J81" s="73"/>
      <c r="K81" s="73"/>
      <c r="L81" s="73"/>
      <c r="M81" s="73"/>
      <c r="N81" s="73"/>
      <c r="O81" s="73"/>
    </row>
    <row r="82">
      <c r="A82" s="73"/>
      <c r="B82" s="117"/>
      <c r="C82" s="73"/>
      <c r="D82" s="73"/>
      <c r="E82" s="73"/>
      <c r="F82" s="73"/>
      <c r="G82" s="74"/>
      <c r="H82" s="81"/>
      <c r="I82" s="73"/>
      <c r="J82" s="73"/>
      <c r="K82" s="73"/>
      <c r="L82" s="73"/>
      <c r="M82" s="73"/>
      <c r="N82" s="73"/>
      <c r="O82" s="73"/>
    </row>
    <row r="83">
      <c r="A83" s="73"/>
      <c r="B83" s="117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</row>
    <row r="84">
      <c r="A84" s="73"/>
      <c r="B84" s="117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</row>
    <row r="85">
      <c r="A85" s="73"/>
      <c r="B85" s="117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</row>
    <row r="86">
      <c r="A86" s="73"/>
      <c r="B86" s="117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</row>
  </sheetData>
  <mergeCells count="1">
    <mergeCell ref="G76:H76"/>
  </mergeCells>
  <hyperlinks>
    <hyperlink r:id="rId1" ref="D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6.13"/>
    <col customWidth="1" min="3" max="3" width="22.63"/>
    <col customWidth="1" min="4" max="4" width="18.63"/>
  </cols>
  <sheetData>
    <row r="1">
      <c r="A1" s="124"/>
      <c r="B1" s="124" t="s">
        <v>218</v>
      </c>
      <c r="C1" s="124" t="s">
        <v>219</v>
      </c>
      <c r="D1" s="124" t="s">
        <v>220</v>
      </c>
    </row>
    <row r="2">
      <c r="A2" s="125"/>
      <c r="B2" s="126">
        <v>45841.0</v>
      </c>
      <c r="C2" s="66" t="s">
        <v>221</v>
      </c>
      <c r="D2" s="66">
        <f>862+400</f>
        <v>1262</v>
      </c>
    </row>
    <row r="3">
      <c r="A3" s="125"/>
      <c r="B3" s="126">
        <v>45842.0</v>
      </c>
      <c r="C3" s="66" t="s">
        <v>221</v>
      </c>
      <c r="D3" s="125">
        <f>600+400</f>
        <v>1000</v>
      </c>
    </row>
    <row r="4">
      <c r="A4" s="125"/>
      <c r="B4" s="126">
        <v>45842.0</v>
      </c>
      <c r="C4" s="66" t="s">
        <v>222</v>
      </c>
      <c r="D4" s="66">
        <v>700.0</v>
      </c>
    </row>
    <row r="5">
      <c r="A5" s="125"/>
      <c r="B5" s="125"/>
      <c r="C5" s="125"/>
      <c r="D5" s="125"/>
    </row>
    <row r="6">
      <c r="A6" s="125"/>
      <c r="B6" s="125"/>
      <c r="C6" s="125"/>
      <c r="D6" s="125"/>
    </row>
    <row r="7">
      <c r="A7" s="125"/>
      <c r="B7" s="125"/>
      <c r="C7" s="125"/>
      <c r="D7" s="125"/>
    </row>
    <row r="8">
      <c r="A8" s="125"/>
      <c r="B8" s="125"/>
      <c r="C8" s="125"/>
      <c r="D8" s="125"/>
    </row>
    <row r="9">
      <c r="A9" s="125"/>
      <c r="B9" s="125"/>
      <c r="C9" s="125"/>
      <c r="D9" s="125"/>
    </row>
    <row r="10">
      <c r="A10" s="125"/>
      <c r="B10" s="125"/>
      <c r="C10" s="125"/>
      <c r="D10" s="125"/>
    </row>
    <row r="11">
      <c r="A11" s="125"/>
      <c r="B11" s="125"/>
      <c r="C11" s="125"/>
      <c r="D11" s="125"/>
    </row>
    <row r="12">
      <c r="A12" s="125"/>
      <c r="B12" s="125"/>
      <c r="C12" s="125"/>
      <c r="D12" s="125"/>
    </row>
    <row r="13">
      <c r="A13" s="125"/>
      <c r="B13" s="125"/>
      <c r="C13" s="125"/>
      <c r="D13" s="125"/>
    </row>
    <row r="14">
      <c r="A14" s="125"/>
      <c r="B14" s="125"/>
      <c r="C14" s="125"/>
      <c r="D14" s="125"/>
    </row>
    <row r="15">
      <c r="A15" s="125"/>
      <c r="B15" s="125"/>
      <c r="C15" s="125"/>
      <c r="D15" s="125"/>
    </row>
    <row r="16">
      <c r="A16" s="125"/>
      <c r="B16" s="125"/>
      <c r="C16" s="125"/>
      <c r="D16" s="125"/>
    </row>
    <row r="19">
      <c r="D19" s="118" t="s">
        <v>212</v>
      </c>
      <c r="E19" s="119"/>
    </row>
    <row r="20">
      <c r="D20" s="120" t="s">
        <v>213</v>
      </c>
      <c r="E20" s="121"/>
    </row>
    <row r="21">
      <c r="D21" s="122" t="s">
        <v>214</v>
      </c>
      <c r="E21" s="121"/>
    </row>
    <row r="22">
      <c r="D22" s="120" t="s">
        <v>215</v>
      </c>
      <c r="E22" s="121"/>
    </row>
    <row r="23">
      <c r="D23" s="120" t="s">
        <v>216</v>
      </c>
      <c r="E23" s="121"/>
    </row>
    <row r="24">
      <c r="D24" s="120" t="s">
        <v>223</v>
      </c>
      <c r="E24" s="123"/>
    </row>
    <row r="25">
      <c r="D25" s="74"/>
      <c r="E25" s="81"/>
    </row>
  </sheetData>
  <mergeCells count="1">
    <mergeCell ref="D19:E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50.75"/>
  </cols>
  <sheetData>
    <row r="1">
      <c r="A1" s="127" t="s">
        <v>224</v>
      </c>
      <c r="B1" s="127" t="s">
        <v>225</v>
      </c>
    </row>
    <row r="2">
      <c r="A2" s="127" t="s">
        <v>226</v>
      </c>
      <c r="B2" s="128">
        <f>1458633-1000+72000-45000-92000-1000</f>
        <v>1391633</v>
      </c>
    </row>
    <row r="3">
      <c r="A3" s="127" t="s">
        <v>227</v>
      </c>
      <c r="B3" s="128">
        <f>142380-400</f>
        <v>141980</v>
      </c>
    </row>
    <row r="4">
      <c r="A4" s="127" t="s">
        <v>228</v>
      </c>
      <c r="B4" s="129">
        <f>173505+85000</f>
        <v>258505</v>
      </c>
    </row>
    <row r="5">
      <c r="A5" s="127" t="s">
        <v>229</v>
      </c>
      <c r="B5" s="129">
        <f>156914-27508-4506-40000</f>
        <v>84900</v>
      </c>
    </row>
    <row r="6">
      <c r="A6" s="127" t="s">
        <v>230</v>
      </c>
      <c r="B6" s="129">
        <f>13000+45000</f>
        <v>58000</v>
      </c>
    </row>
    <row r="13">
      <c r="A13" s="130" t="s">
        <v>231</v>
      </c>
      <c r="B13" s="131">
        <f>sum(B2:B6)</f>
        <v>1935018</v>
      </c>
    </row>
    <row r="37">
      <c r="B37" s="132">
        <f>773494+614609</f>
        <v>1388103</v>
      </c>
    </row>
  </sheetData>
  <drawing r:id="rId1"/>
</worksheet>
</file>