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4"/>
    <sheet state="visible" name="Payable and recievable" sheetId="2" r:id="rId5"/>
    <sheet state="visible" name="Sales " sheetId="3" r:id="rId6"/>
    <sheet state="visible" name="Expense " sheetId="4" r:id="rId7"/>
    <sheet state="visible" name="Sheet5" sheetId="5" r:id="rId8"/>
    <sheet state="visible" name="Sheet10" sheetId="6" r:id="rId9"/>
    <sheet state="visible" name="Sheet9" sheetId="7" r:id="rId10"/>
  </sheets>
  <definedNames/>
  <calcPr/>
  <extLst>
    <ext uri="GoogleSheetsCustomDataVersion2">
      <go:sheetsCustomData xmlns:go="http://customooxmlschemas.google.com/" r:id="rId11" roundtripDataChecksum="1mDIbD5pA/3TiAKe3GvnUiQ0TpSoI9U5RPYYzzedS6w="/>
    </ext>
  </extLst>
</workbook>
</file>

<file path=xl/sharedStrings.xml><?xml version="1.0" encoding="utf-8"?>
<sst xmlns="http://schemas.openxmlformats.org/spreadsheetml/2006/main" count="341" uniqueCount="226">
  <si>
    <t>Item</t>
  </si>
  <si>
    <t>Stock</t>
  </si>
  <si>
    <t>No</t>
  </si>
  <si>
    <t>Description</t>
  </si>
  <si>
    <t>Ime</t>
  </si>
  <si>
    <t>Purchased Price</t>
  </si>
  <si>
    <t>Person</t>
  </si>
  <si>
    <t>DATE</t>
  </si>
  <si>
    <t>REASON</t>
  </si>
  <si>
    <t>AMOUNT</t>
  </si>
  <si>
    <t>purchesed price</t>
  </si>
  <si>
    <t>Date</t>
  </si>
  <si>
    <t>ride</t>
  </si>
  <si>
    <t>iPhone 7 plus</t>
  </si>
  <si>
    <t>128/100</t>
  </si>
  <si>
    <t>Ser.NO</t>
  </si>
  <si>
    <t xml:space="preserve">iPhone 12 </t>
  </si>
  <si>
    <t xml:space="preserve">purchased amounts </t>
  </si>
  <si>
    <t>sales amount</t>
  </si>
  <si>
    <t>Sales Person</t>
  </si>
  <si>
    <t>iPhone 12 pro max</t>
  </si>
  <si>
    <t>Vender</t>
  </si>
  <si>
    <t>256/89</t>
  </si>
  <si>
    <t>Profit</t>
  </si>
  <si>
    <t>Maintenance</t>
  </si>
  <si>
    <t>iPhone 13</t>
  </si>
  <si>
    <t>Remark</t>
  </si>
  <si>
    <t>128/92</t>
  </si>
  <si>
    <t xml:space="preserve">iPhone 13 Pro </t>
  </si>
  <si>
    <t>128/90</t>
  </si>
  <si>
    <t>Recievable</t>
  </si>
  <si>
    <t>iPhone 13 Pro max</t>
  </si>
  <si>
    <t>256/90</t>
  </si>
  <si>
    <t>256/77</t>
  </si>
  <si>
    <t>food</t>
  </si>
  <si>
    <t>iPhone 15</t>
  </si>
  <si>
    <t>128/85</t>
  </si>
  <si>
    <t xml:space="preserve">iPhone 14 </t>
  </si>
  <si>
    <t>Payable</t>
  </si>
  <si>
    <t>Gold</t>
  </si>
  <si>
    <t>128/blue</t>
  </si>
  <si>
    <t>Asset</t>
  </si>
  <si>
    <t>Fx</t>
  </si>
  <si>
    <t>Husa</t>
  </si>
  <si>
    <t xml:space="preserve">Dollar exchange </t>
  </si>
  <si>
    <t>Mafi</t>
  </si>
  <si>
    <t xml:space="preserve">Samsung s26 ultra </t>
  </si>
  <si>
    <t xml:space="preserve">Stock </t>
  </si>
  <si>
    <t>iPhone 16</t>
  </si>
  <si>
    <t>11,800$+150$ and + 720usdt +36usdt  bybit</t>
  </si>
  <si>
    <t>Summery</t>
  </si>
  <si>
    <t>Heni</t>
  </si>
  <si>
    <t>One plus 13</t>
  </si>
  <si>
    <t>Cash on hand</t>
  </si>
  <si>
    <t>Fuad</t>
  </si>
  <si>
    <t>Samsung a57</t>
  </si>
  <si>
    <t>Capital</t>
  </si>
  <si>
    <t>iPhone 16 pro max</t>
  </si>
  <si>
    <t>Bruk edna</t>
  </si>
  <si>
    <t>iPhone 14</t>
  </si>
  <si>
    <t>iPhone 13 pro max</t>
  </si>
  <si>
    <t>Yenus</t>
  </si>
  <si>
    <t xml:space="preserve">Samsung s22 ultra </t>
  </si>
  <si>
    <t>128/86 blue esim</t>
  </si>
  <si>
    <t>Halle</t>
  </si>
  <si>
    <t>Total Sales</t>
  </si>
  <si>
    <t>Total Purchase</t>
  </si>
  <si>
    <t>Profit before Expensess</t>
  </si>
  <si>
    <t>Expenses</t>
  </si>
  <si>
    <t>Weekly Profit</t>
  </si>
  <si>
    <t>Loss</t>
  </si>
  <si>
    <t>Fira and dagi and 17pm</t>
  </si>
  <si>
    <t>128/90 blue</t>
  </si>
  <si>
    <t>80,000 AND 95000 and 215000</t>
  </si>
  <si>
    <t>Total Daily Sales</t>
  </si>
  <si>
    <t>128/84 black</t>
  </si>
  <si>
    <t xml:space="preserve">receivables </t>
  </si>
  <si>
    <t>128/93 black</t>
  </si>
  <si>
    <t>iPhone 14 plus</t>
  </si>
  <si>
    <t>256/blue</t>
  </si>
  <si>
    <t>ebro</t>
  </si>
  <si>
    <t>Iphone 14 plus</t>
  </si>
  <si>
    <t>128/78,blue,backcrack</t>
  </si>
  <si>
    <t>Hale</t>
  </si>
  <si>
    <t>iPhone 15 and apple pen</t>
  </si>
  <si>
    <t>Samsung fold 8</t>
  </si>
  <si>
    <t>Ebro</t>
  </si>
  <si>
    <t>Smith</t>
  </si>
  <si>
    <t>halle</t>
  </si>
  <si>
    <t>Fold 8 cover</t>
  </si>
  <si>
    <t>iPhone 14 pro max</t>
  </si>
  <si>
    <t>128/83</t>
  </si>
  <si>
    <t xml:space="preserve">natty </t>
  </si>
  <si>
    <t>256/95</t>
  </si>
  <si>
    <t>Sami</t>
  </si>
  <si>
    <t>256gb</t>
  </si>
  <si>
    <t xml:space="preserve">Yunus </t>
  </si>
  <si>
    <t>Robel</t>
  </si>
  <si>
    <t>128gb/91</t>
  </si>
  <si>
    <t>Samsung A54</t>
  </si>
  <si>
    <t xml:space="preserve">Dagi </t>
  </si>
  <si>
    <t xml:space="preserve">Wife </t>
  </si>
  <si>
    <t>iPhone 15 pro ma</t>
  </si>
  <si>
    <t>Hani kal</t>
  </si>
  <si>
    <t>Husa 75,000 in 83000 out aug 3</t>
  </si>
  <si>
    <t>iPhone 15 pro max</t>
  </si>
  <si>
    <t>sum</t>
  </si>
  <si>
    <t>Iphone 15 pro</t>
  </si>
  <si>
    <t>Iphone 15 pro max</t>
  </si>
  <si>
    <t>Demo,locked,natural</t>
  </si>
  <si>
    <t xml:space="preserve">total </t>
  </si>
  <si>
    <t>-</t>
  </si>
  <si>
    <t>256/94% natural</t>
  </si>
  <si>
    <t xml:space="preserve">256/87 esim blue </t>
  </si>
  <si>
    <t>512/86 esim</t>
  </si>
  <si>
    <t>iPhone 16 plus</t>
  </si>
  <si>
    <t>Deme</t>
  </si>
  <si>
    <t xml:space="preserve">256/93 Black </t>
  </si>
  <si>
    <t>Wifi pod</t>
  </si>
  <si>
    <t xml:space="preserve">256/100 natural </t>
  </si>
  <si>
    <t xml:space="preserve">Joystick </t>
  </si>
  <si>
    <t>Hani kal 130,000 in 151000 out aug 13</t>
  </si>
  <si>
    <t>Tomi</t>
  </si>
  <si>
    <t xml:space="preserve">payable </t>
  </si>
  <si>
    <t>iPhone 17 pro max</t>
  </si>
  <si>
    <t>kal</t>
  </si>
  <si>
    <t>Samsung A07</t>
  </si>
  <si>
    <t>Fila</t>
  </si>
  <si>
    <t>Hani dag</t>
  </si>
  <si>
    <t>95 to 100</t>
  </si>
  <si>
    <t>Husa 120,000 in 158000 out aug 15</t>
  </si>
  <si>
    <t>Mekdi</t>
  </si>
  <si>
    <t>128 black</t>
  </si>
  <si>
    <t>Heni 110,000 in 132,000 out aug 5</t>
  </si>
  <si>
    <t xml:space="preserve">1tb /169cc 100%  black </t>
  </si>
  <si>
    <t>1tb /93%  black esim</t>
  </si>
  <si>
    <t>Bruk edna 165,000 in 185000 out aug 7</t>
  </si>
  <si>
    <t>Rahma</t>
  </si>
  <si>
    <t>Yoni</t>
  </si>
  <si>
    <t>256/91 black</t>
  </si>
  <si>
    <t xml:space="preserve">Smith </t>
  </si>
  <si>
    <t>256/95 desert</t>
  </si>
  <si>
    <t>iPhone 17</t>
  </si>
  <si>
    <t>256 blue</t>
  </si>
  <si>
    <t>512/ orange esim used</t>
  </si>
  <si>
    <t>Goya</t>
  </si>
  <si>
    <t xml:space="preserve">Price </t>
  </si>
  <si>
    <t>256/blue sim</t>
  </si>
  <si>
    <t xml:space="preserve">4G Ring 18k </t>
  </si>
  <si>
    <t>40G bracelet 21k</t>
  </si>
  <si>
    <t>256/silver e sim</t>
  </si>
  <si>
    <t>256/blue SIM</t>
  </si>
  <si>
    <t>256/orange</t>
  </si>
  <si>
    <t>256/silver 7cc</t>
  </si>
  <si>
    <t>Husa 205,000 in 240000 out aug 27</t>
  </si>
  <si>
    <t>256/silver 4cc</t>
  </si>
  <si>
    <t>MacBook Pro M1 pro</t>
  </si>
  <si>
    <t>512/16 16"</t>
  </si>
  <si>
    <t>Yenus 160,000 in 195000 out aug 3</t>
  </si>
  <si>
    <t>MacBook Air M5</t>
  </si>
  <si>
    <t>512/16</t>
  </si>
  <si>
    <t>Yenus 224,000 in 25000 out aug 3</t>
  </si>
  <si>
    <t>iPad 6th</t>
  </si>
  <si>
    <t>128/</t>
  </si>
  <si>
    <t>Ipad A16</t>
  </si>
  <si>
    <t>128/wifi</t>
  </si>
  <si>
    <t>Samsung A57</t>
  </si>
  <si>
    <t>256/12</t>
  </si>
  <si>
    <t>Fila 65,000 in 69000 out aug 6</t>
  </si>
  <si>
    <t>Samsung A56</t>
  </si>
  <si>
    <t>Halle 40,000 in 45,000 out aug 13</t>
  </si>
  <si>
    <t xml:space="preserve">Samsung S22 ultra </t>
  </si>
  <si>
    <t>Halle 59,000 in 68,000 out aug 8</t>
  </si>
  <si>
    <t xml:space="preserve">BANKS </t>
  </si>
  <si>
    <t>128/12</t>
  </si>
  <si>
    <t>Monthly Profit</t>
  </si>
  <si>
    <t xml:space="preserve">Samsung S24 Ultra </t>
  </si>
  <si>
    <t xml:space="preserve">BALANCE </t>
  </si>
  <si>
    <t>CBE</t>
  </si>
  <si>
    <t>Samsung S24 Ultra</t>
  </si>
  <si>
    <t xml:space="preserve">Samsung S25 Ultra </t>
  </si>
  <si>
    <t>512/12</t>
  </si>
  <si>
    <t xml:space="preserve">Samsung S26 Ultra </t>
  </si>
  <si>
    <t>Net</t>
  </si>
  <si>
    <t>Husa 140,000 in 170000 out aug 4</t>
  </si>
  <si>
    <t xml:space="preserve">Samsung Tab s8 ultra </t>
  </si>
  <si>
    <t>Samsung Tab s10 fe</t>
  </si>
  <si>
    <t>128/6</t>
  </si>
  <si>
    <t>Oneplus 13</t>
  </si>
  <si>
    <t>Fuad 70,000 in 85000 out aug 6</t>
  </si>
  <si>
    <t>Airpod 3</t>
  </si>
  <si>
    <t>AirPod max</t>
  </si>
  <si>
    <t>Yenus 36,000 in 50,000 out aug 3</t>
  </si>
  <si>
    <t>BOA</t>
  </si>
  <si>
    <t>Ipad M5</t>
  </si>
  <si>
    <t>256/13 inch</t>
  </si>
  <si>
    <t xml:space="preserve">Apple Magic Keyboard </t>
  </si>
  <si>
    <t>11inch</t>
  </si>
  <si>
    <t>13inch</t>
  </si>
  <si>
    <t>AWASH</t>
  </si>
  <si>
    <t>Samsung watch 8 classic</t>
  </si>
  <si>
    <t>45mm</t>
  </si>
  <si>
    <t>Huawei wifi 5g</t>
  </si>
  <si>
    <t>TeleBirr</t>
  </si>
  <si>
    <t>Halle 5,000 in 5000 out aug 22</t>
  </si>
  <si>
    <t xml:space="preserve">DJI. Camera </t>
  </si>
  <si>
    <t>Desktop</t>
  </si>
  <si>
    <t>Gaming pc</t>
  </si>
  <si>
    <t>ZEMEN</t>
  </si>
  <si>
    <t>Surface pro 7</t>
  </si>
  <si>
    <t>11th gen 1tb/16gb</t>
  </si>
  <si>
    <t>PlayStation 5 fat</t>
  </si>
  <si>
    <t xml:space="preserve">With 2 joysticks </t>
  </si>
  <si>
    <t>playstion 5 slim</t>
  </si>
  <si>
    <t>with one joystic</t>
  </si>
  <si>
    <t>PlayStation 5 pro</t>
  </si>
  <si>
    <t xml:space="preserve">With 2 joystick </t>
  </si>
  <si>
    <t xml:space="preserve">sum </t>
  </si>
  <si>
    <t xml:space="preserve">Ps 5 joystick charger station </t>
  </si>
  <si>
    <t xml:space="preserve">Charger </t>
  </si>
  <si>
    <t>Joystick custom ps5</t>
  </si>
  <si>
    <t>Tomi 33,000 in 43000 out aug 24</t>
  </si>
  <si>
    <t>Joystick ps5</t>
  </si>
  <si>
    <t xml:space="preserve">PS 5 joystick </t>
  </si>
  <si>
    <t xml:space="preserve">joystick </t>
  </si>
  <si>
    <t xml:space="preserve">Halle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</si>
</sst>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sz val="12.0"/>
      <color rgb="FF000000"/>
      <name val="Calibri"/>
    </font>
    <font>
      <b/>
      <sz val="12.0"/>
      <color rgb="FF000000"/>
      <name val="Calibri"/>
    </font>
    <font>
      <u/>
      <sz val="12.0"/>
      <color rgb="FF000000"/>
      <name val="Calibri"/>
    </font>
    <font>
      <sz val="11.0"/>
      <color theme="1"/>
      <name val="Calibri"/>
    </font>
    <font>
      <color rgb="FF000000"/>
      <name val="Arial"/>
    </font>
    <font>
      <b/>
      <sz val="14.0"/>
      <color rgb="FF000000"/>
      <name val="Calibri"/>
    </font>
    <font/>
    <font>
      <color rgb="FFFFFFFF"/>
      <name val="Arial"/>
    </font>
    <font>
      <b/>
      <sz val="12.0"/>
      <color rgb="FFFFFFFF"/>
      <name val="Calibri"/>
    </font>
    <font>
      <b/>
      <color theme="1"/>
      <name val="Arial"/>
    </font>
    <font>
      <b/>
      <sz val="14.0"/>
      <color rgb="FF274E13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189F7"/>
        <bgColor rgb="FFC189F7"/>
      </patternFill>
    </fill>
    <fill>
      <patternFill patternType="solid">
        <fgColor rgb="FFC00000"/>
        <bgColor rgb="FFC00000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4A86E8"/>
        <bgColor rgb="FF4A86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2" numFmtId="0" xfId="0" applyBorder="1" applyFill="1" applyFont="1"/>
    <xf borderId="1" fillId="0" fontId="1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0" fontId="2" numFmtId="0" xfId="0" applyBorder="1" applyFont="1"/>
    <xf borderId="1" fillId="0" fontId="2" numFmtId="164" xfId="0" applyBorder="1" applyFont="1" applyNumberFormat="1"/>
    <xf borderId="2" fillId="3" fontId="4" numFmtId="0" xfId="0" applyAlignment="1" applyBorder="1" applyFill="1" applyFont="1">
      <alignment horizontal="left"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3" xfId="0" applyAlignment="1" applyBorder="1" applyFont="1" applyNumberFormat="1">
      <alignment horizontal="right"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bottom" wrapText="0"/>
    </xf>
    <xf borderId="2" fillId="4" fontId="1" numFmtId="3" xfId="0" applyAlignment="1" applyBorder="1" applyFill="1" applyFont="1" applyNumberFormat="1">
      <alignment horizontal="right" readingOrder="0" shrinkToFit="0" vertical="bottom" wrapText="0"/>
    </xf>
    <xf borderId="0" fillId="4" fontId="1" numFmtId="0" xfId="0" applyAlignment="1" applyFill="1" applyFont="1">
      <alignment shrinkToFit="0" vertical="bottom" wrapText="0"/>
    </xf>
    <xf borderId="2" fillId="5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4" fillId="0" fontId="1" numFmtId="3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6" fontId="6" numFmtId="0" xfId="0" applyAlignment="1" applyBorder="1" applyFill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3" numFmtId="3" xfId="0" applyAlignment="1" applyBorder="1" applyFont="1" applyNumberFormat="1">
      <alignment shrinkToFit="0" vertical="bottom" wrapText="0"/>
    </xf>
    <xf borderId="4" fillId="0" fontId="1" numFmtId="3" xfId="0" applyAlignment="1" applyBorder="1" applyFont="1" applyNumberFormat="1">
      <alignment horizontal="right" shrinkToFit="0" vertical="bottom" wrapText="0"/>
    </xf>
    <xf borderId="4" fillId="0" fontId="3" numFmtId="3" xfId="0" applyAlignment="1" applyBorder="1" applyFont="1" applyNumberFormat="1">
      <alignment shrinkToFit="0" vertical="bottom" wrapText="0"/>
    </xf>
    <xf borderId="1" fillId="6" fontId="6" numFmtId="0" xfId="0" applyAlignment="1" applyBorder="1" applyFill="1" applyFont="1">
      <alignment horizontal="right" vertical="bottom"/>
    </xf>
    <xf borderId="4" fillId="0" fontId="3" numFmtId="0" xfId="0" applyAlignment="1" applyBorder="1" applyFont="1">
      <alignment shrinkToFit="0" vertical="bottom" wrapText="0"/>
    </xf>
    <xf borderId="1" fillId="6" fontId="2" numFmtId="3" xfId="0" applyAlignment="1" applyBorder="1" applyFill="1" applyFont="1" applyNumberFormat="1">
      <alignment vertical="bottom"/>
    </xf>
    <xf borderId="1" fillId="6" fontId="6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vertical="bottom"/>
    </xf>
    <xf borderId="0" fillId="6" fontId="2" numFmtId="0" xfId="0" applyAlignment="1" applyFill="1" applyFont="1">
      <alignment vertical="bottom"/>
    </xf>
    <xf borderId="0" fillId="6" fontId="2" numFmtId="0" xfId="0" applyFill="1" applyFont="1"/>
    <xf borderId="5" fillId="2" fontId="8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shrinkToFit="0" vertical="bottom" wrapText="0"/>
    </xf>
    <xf borderId="2" fillId="0" fontId="9" numFmtId="0" xfId="0" applyBorder="1" applyFont="1"/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4" fillId="0" fontId="3" numFmtId="4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vertical="bottom"/>
    </xf>
    <xf borderId="1" fillId="0" fontId="6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7" fontId="1" numFmtId="3" xfId="0" applyAlignment="1" applyFill="1" applyFont="1" applyNumberFormat="1">
      <alignment horizontal="right" shrinkToFit="0" vertical="bottom" wrapText="0"/>
    </xf>
    <xf borderId="0" fillId="0" fontId="2" numFmtId="0" xfId="0" applyAlignment="1" applyFont="1">
      <alignment vertical="bottom"/>
    </xf>
    <xf borderId="4" fillId="0" fontId="3" numFmtId="164" xfId="0" applyAlignment="1" applyBorder="1" applyFont="1" applyNumberFormat="1">
      <alignment horizontal="left" shrinkToFit="0" vertical="bottom" wrapText="0"/>
    </xf>
    <xf borderId="4" fillId="8" fontId="3" numFmtId="4" xfId="0" applyAlignment="1" applyBorder="1" applyFill="1" applyFont="1" applyNumberFormat="1">
      <alignment shrinkToFit="0" vertical="bottom" wrapText="0"/>
    </xf>
    <xf borderId="3" fillId="9" fontId="3" numFmtId="0" xfId="0" applyAlignment="1" applyBorder="1" applyFill="1" applyFon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horizontal="right" shrinkToFit="0" vertical="bottom" wrapText="0"/>
    </xf>
    <xf borderId="1" fillId="2" fontId="4" numFmtId="4" xfId="0" applyAlignment="1" applyBorder="1" applyFill="1" applyFont="1" applyNumberFormat="1">
      <alignment shrinkToFit="0" vertical="bottom" wrapText="0"/>
    </xf>
    <xf borderId="5" fillId="10" fontId="10" numFmtId="0" xfId="0" applyBorder="1" applyFill="1" applyFont="1"/>
    <xf borderId="4" fillId="2" fontId="4" numFmtId="4" xfId="0" applyAlignment="1" applyBorder="1" applyFill="1" applyFont="1" applyNumberFormat="1">
      <alignment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1" fillId="11" fontId="1" numFmtId="0" xfId="0" applyAlignment="1" applyBorder="1" applyFill="1" applyFont="1">
      <alignment shrinkToFit="0" vertical="bottom" wrapText="0"/>
    </xf>
    <xf borderId="1" fillId="11" fontId="1" numFmtId="3" xfId="0" applyAlignment="1" applyBorder="1" applyFill="1" applyFont="1" applyNumberFormat="1">
      <alignment horizontal="right" shrinkToFit="0" vertical="bottom" wrapText="0"/>
    </xf>
    <xf borderId="1" fillId="11" fontId="1" numFmtId="0" xfId="0" applyAlignment="1" applyBorder="1" applyFill="1" applyFont="1">
      <alignment horizontal="center" shrinkToFit="0" vertical="bottom" wrapText="0"/>
    </xf>
    <xf borderId="4" fillId="12" fontId="11" numFmtId="3" xfId="0" applyAlignment="1" applyBorder="1" applyFill="1" applyFont="1" applyNumberFormat="1">
      <alignment shrinkToFit="0" vertical="bottom" wrapText="0"/>
    </xf>
    <xf borderId="0" fillId="0" fontId="2" numFmtId="0" xfId="0" applyFont="1"/>
    <xf borderId="1" fillId="11" fontId="2" numFmtId="0" xfId="0" applyBorder="1" applyFill="1" applyFont="1"/>
    <xf borderId="0" fillId="11" fontId="2" numFmtId="0" xfId="0" applyFill="1" applyFont="1"/>
    <xf borderId="6" fillId="0" fontId="3" numFmtId="0" xfId="0" applyAlignment="1" applyBorder="1" applyFont="1">
      <alignment horizontal="center" shrinkToFit="0" vertical="bottom" wrapText="0"/>
    </xf>
    <xf borderId="1" fillId="0" fontId="2" numFmtId="3" xfId="0" applyBorder="1" applyFont="1" applyNumberFormat="1"/>
    <xf borderId="7" fillId="0" fontId="3" numFmtId="0" xfId="0" applyAlignment="1" applyBorder="1" applyFont="1">
      <alignment horizontal="center"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horizontal="right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1" fillId="5" fontId="1" numFmtId="3" xfId="0" applyAlignment="1" applyBorder="1" applyFill="1" applyFont="1" applyNumberFormat="1">
      <alignment horizontal="right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0" fillId="0" fontId="2" numFmtId="3" xfId="0" applyFont="1" applyNumberFormat="1"/>
    <xf borderId="1" fillId="5" fontId="2" numFmtId="0" xfId="0" applyBorder="1" applyFill="1" applyFont="1"/>
    <xf borderId="0" fillId="5" fontId="2" numFmtId="0" xfId="0" applyFill="1" applyFont="1"/>
    <xf borderId="5" fillId="10" fontId="10" numFmtId="0" xfId="0" applyAlignment="1" applyBorder="1" applyFill="1" applyFont="1">
      <alignment horizontal="center"/>
    </xf>
    <xf borderId="3" fillId="9" fontId="3" numFmtId="164" xfId="0" applyAlignment="1" applyBorder="1" applyFill="1" applyFont="1" applyNumberFormat="1">
      <alignment shrinkToFit="0" vertical="bottom" wrapText="0"/>
    </xf>
    <xf borderId="4" fillId="12" fontId="4" numFmtId="0" xfId="0" applyAlignment="1" applyBorder="1" applyFill="1" applyFont="1">
      <alignment shrinkToFit="0" vertical="bottom" wrapText="0"/>
    </xf>
    <xf borderId="0" fillId="0" fontId="12" numFmtId="0" xfId="0" applyFont="1"/>
    <xf borderId="3" fillId="0" fontId="3" numFmtId="164" xfId="0" applyAlignment="1" applyBorder="1" applyFont="1" applyNumberFormat="1">
      <alignment shrinkToFit="0" vertical="bottom" wrapText="0"/>
    </xf>
    <xf borderId="0" fillId="10" fontId="10" numFmtId="0" xfId="0" applyAlignment="1" applyFill="1" applyFont="1">
      <alignment horizontal="center"/>
    </xf>
    <xf borderId="1" fillId="2" fontId="3" numFmtId="0" xfId="0" applyAlignment="1" applyBorder="1" applyFill="1" applyFont="1">
      <alignment horizontal="left" shrinkToFit="0" vertical="bottom" wrapText="0"/>
    </xf>
    <xf borderId="4" fillId="2" fontId="4" numFmtId="3" xfId="0" applyAlignment="1" applyBorder="1" applyFill="1" applyFont="1" applyNumberFormat="1">
      <alignment shrinkToFit="0" vertical="bottom" wrapText="0"/>
    </xf>
    <xf borderId="1" fillId="0" fontId="7" numFmtId="0" xfId="0" applyAlignment="1" applyBorder="1" applyFont="1">
      <alignment vertical="bottom"/>
    </xf>
    <xf borderId="1" fillId="0" fontId="6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2" numFmtId="3" xfId="0" applyAlignment="1" applyBorder="1" applyFont="1" applyNumberFormat="1">
      <alignment readingOrder="0"/>
    </xf>
    <xf borderId="1" fillId="5" fontId="6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vertical="bottom"/>
    </xf>
    <xf borderId="1" fillId="5" fontId="6" numFmtId="3" xfId="0" applyAlignment="1" applyBorder="1" applyFill="1" applyFont="1" applyNumberFormat="1">
      <alignment horizontal="right" vertical="bottom"/>
    </xf>
    <xf borderId="4" fillId="13" fontId="4" numFmtId="3" xfId="0" applyAlignment="1" applyBorder="1" applyFill="1" applyFont="1" applyNumberFormat="1">
      <alignment shrinkToFit="0" vertical="bottom" wrapText="0"/>
    </xf>
    <xf borderId="0" fillId="5" fontId="2" numFmtId="0" xfId="0" applyAlignment="1" applyFill="1" applyFont="1">
      <alignment vertical="bottom"/>
    </xf>
    <xf borderId="1" fillId="4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/>
    </xf>
    <xf borderId="4" fillId="4" fontId="3" numFmtId="0" xfId="0" applyAlignment="1" applyBorder="1" applyFill="1" applyFont="1">
      <alignment shrinkToFit="0" vertical="bottom" wrapText="0"/>
    </xf>
    <xf borderId="1" fillId="4" fontId="3" numFmtId="3" xfId="0" applyAlignment="1" applyBorder="1" applyFill="1" applyFont="1" applyNumberFormat="1">
      <alignment shrinkToFit="0" vertical="bottom" wrapText="0"/>
    </xf>
    <xf borderId="4" fillId="4" fontId="3" numFmtId="0" xfId="0" applyAlignment="1" applyBorder="1" applyFill="1" applyFont="1">
      <alignment horizontal="right" shrinkToFit="0" vertical="bottom" wrapText="0"/>
    </xf>
    <xf borderId="4" fillId="2" fontId="3" numFmtId="0" xfId="0" applyAlignment="1" applyBorder="1" applyFill="1" applyFont="1">
      <alignment horizontal="left" shrinkToFit="0" vertical="bottom" wrapText="0"/>
    </xf>
    <xf borderId="4" fillId="13" fontId="4" numFmtId="0" xfId="0" applyAlignment="1" applyBorder="1" applyFill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14" fontId="10" numFmtId="0" xfId="0" applyBorder="1" applyFill="1" applyFont="1"/>
    <xf borderId="1" fillId="14" fontId="10" numFmtId="0" xfId="0" applyAlignment="1" applyBorder="1" applyFill="1" applyFont="1">
      <alignment horizontal="left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right"/>
    </xf>
    <xf borderId="1" fillId="5" fontId="2" numFmtId="3" xfId="0" applyBorder="1" applyFill="1" applyFont="1" applyNumberFormat="1"/>
    <xf borderId="0" fillId="0" fontId="13" numFmtId="0" xfId="0" applyFont="1"/>
    <xf borderId="1" fillId="5" fontId="2" numFmtId="0" xfId="0" applyAlignment="1" applyBorder="1" applyFill="1" applyFont="1">
      <alignment horizontal="center"/>
    </xf>
    <xf borderId="0" fillId="0" fontId="13" numFmtId="0" xfId="0" applyAlignment="1" applyFont="1">
      <alignment horizontal="left"/>
    </xf>
    <xf borderId="0" fillId="7" fontId="2" numFmtId="0" xfId="0" applyFill="1" applyFont="1"/>
    <xf borderId="0" fillId="7" fontId="2" numFmtId="3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er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2.75"/>
    <col customWidth="1" min="3" max="3" width="18.63"/>
    <col customWidth="1" min="4" max="4" width="17.75"/>
    <col customWidth="1" min="5" max="5" width="17.25"/>
    <col customWidth="1" min="6" max="6" width="38.63"/>
    <col customWidth="1" min="7" max="7" width="25.38"/>
  </cols>
  <sheetData>
    <row r="1" ht="15.75" customHeight="1">
      <c r="A1" s="1" t="s">
        <v>0</v>
      </c>
      <c r="B1" s="1"/>
      <c r="C1" s="1" t="s">
        <v>3</v>
      </c>
      <c r="D1" s="1" t="s">
        <v>4</v>
      </c>
      <c r="E1" s="1" t="s">
        <v>5</v>
      </c>
      <c r="F1" s="3" t="s">
        <v>6</v>
      </c>
      <c r="G1" s="5" t="s">
        <v>10</v>
      </c>
    </row>
    <row r="2" ht="15.75" customHeight="1">
      <c r="A2" s="1" t="s">
        <v>13</v>
      </c>
      <c r="B2" s="1"/>
      <c r="C2" s="1" t="s">
        <v>14</v>
      </c>
      <c r="D2" s="10"/>
      <c r="E2" s="11"/>
      <c r="F2" s="3"/>
      <c r="G2" s="5"/>
    </row>
    <row r="3" ht="15.75" customHeight="1">
      <c r="A3" s="1" t="s">
        <v>16</v>
      </c>
      <c r="B3" s="1"/>
      <c r="C3" s="1" t="s">
        <v>14</v>
      </c>
      <c r="D3" s="10"/>
      <c r="E3" s="11"/>
      <c r="F3" s="3"/>
      <c r="G3" s="5"/>
    </row>
    <row r="4" ht="15.75" customHeight="1">
      <c r="A4" s="1" t="s">
        <v>20</v>
      </c>
      <c r="B4" s="1"/>
      <c r="C4" s="1" t="s">
        <v>22</v>
      </c>
      <c r="D4" s="10"/>
      <c r="E4" s="11"/>
      <c r="F4" s="3"/>
      <c r="G4" s="5"/>
    </row>
    <row r="5" ht="15.75" customHeight="1">
      <c r="A5" s="1" t="s">
        <v>20</v>
      </c>
      <c r="B5" s="1"/>
      <c r="C5" s="1" t="s">
        <v>22</v>
      </c>
      <c r="D5" s="10"/>
      <c r="E5" s="11"/>
      <c r="F5" s="3"/>
      <c r="G5" s="5"/>
    </row>
    <row r="6" ht="15.75" customHeight="1">
      <c r="A6" s="1" t="s">
        <v>25</v>
      </c>
      <c r="B6" s="1"/>
      <c r="C6" s="1" t="s">
        <v>27</v>
      </c>
      <c r="D6" s="10"/>
      <c r="E6" s="11"/>
      <c r="F6" s="3"/>
      <c r="G6" s="5"/>
    </row>
    <row r="7" ht="15.75" customHeight="1">
      <c r="A7" s="1" t="s">
        <v>28</v>
      </c>
      <c r="B7" s="1"/>
      <c r="C7" s="1" t="s">
        <v>29</v>
      </c>
      <c r="D7" s="10"/>
      <c r="E7" s="11"/>
      <c r="F7" s="3"/>
      <c r="G7" s="5"/>
    </row>
    <row r="8" ht="15.75" customHeight="1">
      <c r="A8" s="1" t="s">
        <v>31</v>
      </c>
      <c r="B8" s="1"/>
      <c r="C8" s="1" t="s">
        <v>32</v>
      </c>
      <c r="D8" s="10"/>
      <c r="E8" s="11"/>
      <c r="F8" s="3"/>
      <c r="G8" s="5"/>
    </row>
    <row r="9" ht="15.75" customHeight="1">
      <c r="A9" s="1" t="s">
        <v>31</v>
      </c>
      <c r="B9" s="1"/>
      <c r="C9" s="1" t="s">
        <v>33</v>
      </c>
      <c r="D9" s="10"/>
      <c r="E9" s="11"/>
      <c r="F9" s="3"/>
      <c r="G9" s="5"/>
    </row>
    <row r="10" ht="15.75" customHeight="1">
      <c r="A10" s="1" t="s">
        <v>31</v>
      </c>
      <c r="B10" s="1"/>
      <c r="C10" s="1" t="s">
        <v>36</v>
      </c>
      <c r="D10" s="10"/>
      <c r="E10" s="11"/>
      <c r="F10" s="3"/>
      <c r="G10" s="5"/>
    </row>
    <row r="11" ht="15.75" customHeight="1">
      <c r="A11" s="26" t="s">
        <v>37</v>
      </c>
      <c r="B11" s="26"/>
      <c r="C11" s="26" t="s">
        <v>40</v>
      </c>
      <c r="D11" s="31"/>
      <c r="E11" s="33"/>
      <c r="F11" s="34" t="s">
        <v>45</v>
      </c>
      <c r="G11" s="35"/>
      <c r="H11" s="36"/>
      <c r="I11" s="36"/>
      <c r="J11" s="36"/>
      <c r="K11" s="36"/>
      <c r="L11" s="36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ht="15.75" customHeight="1">
      <c r="A12" s="41" t="s">
        <v>59</v>
      </c>
      <c r="B12" s="41"/>
      <c r="C12" s="41" t="s">
        <v>63</v>
      </c>
      <c r="D12" s="42"/>
      <c r="E12" s="44"/>
      <c r="F12" s="45"/>
      <c r="G12" s="47"/>
      <c r="H12" s="49"/>
      <c r="I12" s="49"/>
      <c r="J12" s="49"/>
      <c r="K12" s="49"/>
      <c r="L12" s="49"/>
    </row>
    <row r="13" ht="15.75" customHeight="1">
      <c r="A13" s="41" t="s">
        <v>59</v>
      </c>
      <c r="B13" s="41"/>
      <c r="C13" s="41" t="s">
        <v>72</v>
      </c>
      <c r="D13" s="42"/>
      <c r="E13" s="44"/>
      <c r="F13" s="45"/>
      <c r="G13" s="47"/>
      <c r="H13" s="49"/>
      <c r="I13" s="49"/>
      <c r="J13" s="49"/>
      <c r="K13" s="49"/>
      <c r="L13" s="49"/>
    </row>
    <row r="14" ht="15.75" customHeight="1">
      <c r="A14" s="41" t="s">
        <v>59</v>
      </c>
      <c r="B14" s="41"/>
      <c r="C14" s="41" t="s">
        <v>75</v>
      </c>
      <c r="D14" s="42"/>
      <c r="E14" s="44"/>
      <c r="F14" s="45"/>
      <c r="G14" s="47"/>
      <c r="H14" s="49"/>
      <c r="I14" s="49"/>
      <c r="J14" s="49"/>
      <c r="K14" s="49"/>
      <c r="L14" s="49"/>
    </row>
    <row r="15" ht="15.75" customHeight="1">
      <c r="A15" s="41" t="s">
        <v>59</v>
      </c>
      <c r="B15" s="41"/>
      <c r="C15" s="41" t="s">
        <v>77</v>
      </c>
      <c r="D15" s="42"/>
      <c r="E15" s="44"/>
      <c r="F15" s="45"/>
      <c r="G15" s="47"/>
      <c r="H15" s="49"/>
      <c r="I15" s="49"/>
      <c r="J15" s="49"/>
      <c r="K15" s="49"/>
      <c r="L15" s="49"/>
    </row>
    <row r="16" ht="15.75" customHeight="1">
      <c r="A16" s="41" t="s">
        <v>78</v>
      </c>
      <c r="B16" s="41"/>
      <c r="C16" s="41" t="s">
        <v>79</v>
      </c>
      <c r="D16" s="42"/>
      <c r="E16" s="44"/>
      <c r="F16" s="45"/>
      <c r="G16" s="47"/>
      <c r="H16" s="49"/>
      <c r="I16" s="49"/>
      <c r="J16" s="49"/>
      <c r="K16" s="49"/>
      <c r="L16" s="49"/>
    </row>
    <row r="17" ht="15.75" customHeight="1">
      <c r="A17" s="60" t="s">
        <v>81</v>
      </c>
      <c r="B17" s="60"/>
      <c r="C17" s="60" t="s">
        <v>82</v>
      </c>
      <c r="D17" s="60">
        <v>3.52820543614718E14</v>
      </c>
      <c r="E17" s="61"/>
      <c r="F17" s="62" t="s">
        <v>83</v>
      </c>
      <c r="G17" s="65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ht="15.75" customHeight="1">
      <c r="A18" s="1" t="s">
        <v>90</v>
      </c>
      <c r="B18" s="1"/>
      <c r="C18" s="1" t="s">
        <v>91</v>
      </c>
      <c r="D18" s="10"/>
      <c r="E18" s="11"/>
      <c r="F18" s="3"/>
      <c r="G18" s="5"/>
    </row>
    <row r="19" ht="15.75" customHeight="1">
      <c r="A19" s="1" t="s">
        <v>90</v>
      </c>
      <c r="B19" s="1"/>
      <c r="C19" s="1" t="s">
        <v>93</v>
      </c>
      <c r="D19" s="10"/>
      <c r="E19" s="11"/>
      <c r="F19" s="3"/>
      <c r="G19" s="5"/>
    </row>
    <row r="20" ht="15.75" customHeight="1">
      <c r="A20" s="1" t="s">
        <v>35</v>
      </c>
      <c r="B20" s="1"/>
      <c r="C20" s="1" t="s">
        <v>95</v>
      </c>
      <c r="D20" s="10"/>
      <c r="E20" s="11"/>
      <c r="F20" s="3"/>
      <c r="G20" s="5"/>
    </row>
    <row r="21" ht="15.75" customHeight="1">
      <c r="A21" s="70" t="s">
        <v>35</v>
      </c>
      <c r="B21" s="70"/>
      <c r="C21" s="70" t="s">
        <v>98</v>
      </c>
      <c r="D21" s="71"/>
      <c r="E21" s="73"/>
      <c r="F21" s="74" t="s">
        <v>104</v>
      </c>
      <c r="G21" s="76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ht="15.75" customHeight="1">
      <c r="A22" s="1" t="s">
        <v>107</v>
      </c>
      <c r="B22" s="1"/>
      <c r="C22" s="1" t="s">
        <v>27</v>
      </c>
      <c r="D22" s="10"/>
      <c r="E22" s="11"/>
      <c r="F22" s="3"/>
      <c r="G22" s="5"/>
    </row>
    <row r="23" ht="15.75" customHeight="1">
      <c r="A23" s="1" t="s">
        <v>108</v>
      </c>
      <c r="B23" s="1"/>
      <c r="C23" s="1" t="s">
        <v>109</v>
      </c>
      <c r="D23" s="10">
        <v>3.59897654249883E14</v>
      </c>
      <c r="E23" s="11"/>
      <c r="F23" s="3"/>
      <c r="G23" s="5"/>
    </row>
    <row r="24" ht="15.75" customHeight="1">
      <c r="A24" s="1" t="s">
        <v>108</v>
      </c>
      <c r="B24" s="1"/>
      <c r="C24" s="1" t="s">
        <v>112</v>
      </c>
      <c r="D24" s="10"/>
      <c r="E24" s="11"/>
      <c r="F24" s="3"/>
      <c r="G24" s="5"/>
    </row>
    <row r="25" ht="15.75" customHeight="1">
      <c r="A25" s="1" t="s">
        <v>108</v>
      </c>
      <c r="B25" s="1"/>
      <c r="C25" s="1" t="s">
        <v>113</v>
      </c>
      <c r="D25" s="10"/>
      <c r="E25" s="11"/>
      <c r="F25" s="3"/>
      <c r="G25" s="5"/>
    </row>
    <row r="26" ht="15.75" customHeight="1">
      <c r="A26" s="1" t="s">
        <v>105</v>
      </c>
      <c r="B26" s="1"/>
      <c r="C26" s="1" t="s">
        <v>114</v>
      </c>
      <c r="D26" s="10"/>
      <c r="E26" s="11"/>
      <c r="F26" s="3"/>
      <c r="G26" s="5"/>
    </row>
    <row r="27" ht="15.75" customHeight="1">
      <c r="A27" s="1" t="s">
        <v>105</v>
      </c>
      <c r="B27" s="1"/>
      <c r="C27" s="1" t="s">
        <v>117</v>
      </c>
      <c r="D27" s="10"/>
      <c r="E27" s="11"/>
      <c r="F27" s="3"/>
      <c r="G27" s="5"/>
    </row>
    <row r="28" ht="15.75" customHeight="1">
      <c r="A28" s="70" t="s">
        <v>108</v>
      </c>
      <c r="B28" s="70"/>
      <c r="C28" s="70" t="s">
        <v>119</v>
      </c>
      <c r="D28" s="71"/>
      <c r="E28" s="73"/>
      <c r="F28" s="74" t="s">
        <v>121</v>
      </c>
      <c r="G28" s="76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</row>
    <row r="29" ht="15.75" customHeight="1">
      <c r="A29" s="70" t="s">
        <v>108</v>
      </c>
      <c r="B29" s="70"/>
      <c r="C29" s="70" t="s">
        <v>119</v>
      </c>
      <c r="D29" s="71" t="s">
        <v>129</v>
      </c>
      <c r="E29" s="73"/>
      <c r="F29" s="74" t="s">
        <v>130</v>
      </c>
      <c r="G29" s="76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</row>
    <row r="30" ht="15.75" customHeight="1">
      <c r="A30" s="70" t="s">
        <v>48</v>
      </c>
      <c r="B30" s="70"/>
      <c r="C30" s="70" t="s">
        <v>132</v>
      </c>
      <c r="D30" s="71"/>
      <c r="E30" s="73"/>
      <c r="F30" s="74" t="s">
        <v>133</v>
      </c>
      <c r="G30" s="76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</row>
    <row r="31" ht="15.75" customHeight="1">
      <c r="A31" s="1" t="s">
        <v>57</v>
      </c>
      <c r="B31" s="1"/>
      <c r="C31" s="1" t="s">
        <v>134</v>
      </c>
      <c r="D31" s="10"/>
      <c r="E31" s="11"/>
      <c r="F31" s="3"/>
      <c r="G31" s="5"/>
    </row>
    <row r="32" ht="15.75" customHeight="1">
      <c r="A32" s="70" t="s">
        <v>57</v>
      </c>
      <c r="B32" s="70"/>
      <c r="C32" s="70" t="s">
        <v>135</v>
      </c>
      <c r="D32" s="71"/>
      <c r="E32" s="73"/>
      <c r="F32" s="74" t="s">
        <v>136</v>
      </c>
      <c r="G32" s="76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ht="15.75" customHeight="1">
      <c r="A33" s="1" t="s">
        <v>57</v>
      </c>
      <c r="B33" s="1"/>
      <c r="C33" s="1" t="s">
        <v>139</v>
      </c>
      <c r="D33" s="10"/>
      <c r="E33" s="11"/>
      <c r="F33" s="3"/>
      <c r="G33" s="5"/>
    </row>
    <row r="34" ht="15.75" customHeight="1">
      <c r="A34" s="1" t="s">
        <v>57</v>
      </c>
      <c r="B34" s="1"/>
      <c r="C34" s="1" t="s">
        <v>141</v>
      </c>
      <c r="D34" s="10"/>
      <c r="E34" s="11"/>
      <c r="F34" s="3"/>
      <c r="G34" s="5"/>
    </row>
    <row r="35" ht="15.75" customHeight="1">
      <c r="A35" s="1" t="s">
        <v>142</v>
      </c>
      <c r="B35" s="1"/>
      <c r="C35" s="1" t="s">
        <v>143</v>
      </c>
      <c r="D35" s="10"/>
      <c r="E35" s="11"/>
      <c r="F35" s="3"/>
      <c r="G35" s="5"/>
    </row>
    <row r="36" ht="15.75" customHeight="1">
      <c r="A36" s="41" t="s">
        <v>124</v>
      </c>
      <c r="B36" s="41"/>
      <c r="C36" s="41" t="s">
        <v>144</v>
      </c>
      <c r="D36" s="47"/>
      <c r="E36" s="87"/>
      <c r="F36" s="47"/>
      <c r="G36" s="47" t="s">
        <v>145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ht="15.75" customHeight="1">
      <c r="A37" s="41" t="s">
        <v>124</v>
      </c>
      <c r="B37" s="41"/>
      <c r="C37" s="41" t="s">
        <v>147</v>
      </c>
      <c r="D37" s="47"/>
      <c r="E37" s="87"/>
      <c r="F37" s="47"/>
      <c r="G37" s="47" t="s">
        <v>145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ht="15.75" customHeight="1">
      <c r="A38" s="41" t="s">
        <v>124</v>
      </c>
      <c r="B38" s="41"/>
      <c r="C38" s="41" t="s">
        <v>150</v>
      </c>
      <c r="D38" s="47"/>
      <c r="E38" s="87"/>
      <c r="F38" s="47"/>
      <c r="G38" s="47" t="s">
        <v>145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ht="15.75" customHeight="1">
      <c r="A39" s="41" t="s">
        <v>124</v>
      </c>
      <c r="B39" s="41"/>
      <c r="C39" s="41" t="s">
        <v>151</v>
      </c>
      <c r="D39" s="47"/>
      <c r="E39" s="87"/>
      <c r="F39" s="47"/>
      <c r="G39" s="47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ht="15.75" customHeight="1">
      <c r="A40" s="41" t="s">
        <v>124</v>
      </c>
      <c r="B40" s="41"/>
      <c r="C40" s="41" t="s">
        <v>152</v>
      </c>
      <c r="D40" s="47"/>
      <c r="E40" s="87"/>
      <c r="F40" s="47"/>
      <c r="G40" s="47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ht="15.75" customHeight="1">
      <c r="A41" s="90" t="s">
        <v>124</v>
      </c>
      <c r="B41" s="90"/>
      <c r="C41" s="90" t="s">
        <v>153</v>
      </c>
      <c r="D41" s="91"/>
      <c r="E41" s="92"/>
      <c r="F41" s="91" t="s">
        <v>154</v>
      </c>
      <c r="G41" s="91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 ht="15.75" customHeight="1">
      <c r="A42" s="41" t="s">
        <v>124</v>
      </c>
      <c r="B42" s="41"/>
      <c r="C42" s="41" t="s">
        <v>155</v>
      </c>
      <c r="D42" s="47"/>
      <c r="E42" s="87"/>
      <c r="F42" s="47"/>
      <c r="G42" s="47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ht="15.75" customHeight="1">
      <c r="A43" s="70" t="s">
        <v>156</v>
      </c>
      <c r="B43" s="70"/>
      <c r="C43" s="70" t="s">
        <v>157</v>
      </c>
      <c r="D43" s="71"/>
      <c r="E43" s="73"/>
      <c r="F43" s="74" t="s">
        <v>158</v>
      </c>
      <c r="G43" s="76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</row>
    <row r="44" ht="15.75" customHeight="1">
      <c r="A44" s="70" t="s">
        <v>159</v>
      </c>
      <c r="B44" s="70"/>
      <c r="C44" s="70" t="s">
        <v>160</v>
      </c>
      <c r="D44" s="71"/>
      <c r="E44" s="73"/>
      <c r="F44" s="74" t="s">
        <v>161</v>
      </c>
      <c r="G44" s="76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</row>
    <row r="45" ht="15.75" customHeight="1">
      <c r="A45" s="1" t="s">
        <v>162</v>
      </c>
      <c r="B45" s="1"/>
      <c r="C45" s="1" t="s">
        <v>163</v>
      </c>
      <c r="D45" s="10"/>
      <c r="E45" s="11"/>
      <c r="F45" s="3"/>
      <c r="G45" s="5"/>
    </row>
    <row r="46" ht="15.75" customHeight="1">
      <c r="A46" s="1" t="s">
        <v>164</v>
      </c>
      <c r="B46" s="1"/>
      <c r="C46" s="1" t="s">
        <v>165</v>
      </c>
      <c r="D46" s="10"/>
      <c r="E46" s="11"/>
      <c r="F46" s="3"/>
      <c r="G46" s="5"/>
    </row>
    <row r="47" ht="15.75" customHeight="1">
      <c r="A47" s="70" t="s">
        <v>166</v>
      </c>
      <c r="B47" s="70"/>
      <c r="C47" s="70" t="s">
        <v>167</v>
      </c>
      <c r="D47" s="71"/>
      <c r="E47" s="73"/>
      <c r="F47" s="74" t="s">
        <v>168</v>
      </c>
      <c r="G47" s="76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</row>
    <row r="48" ht="15.75" customHeight="1">
      <c r="A48" s="70" t="s">
        <v>169</v>
      </c>
      <c r="B48" s="70"/>
      <c r="C48" s="70" t="s">
        <v>167</v>
      </c>
      <c r="D48" s="71"/>
      <c r="E48" s="73"/>
      <c r="F48" s="74" t="s">
        <v>170</v>
      </c>
      <c r="G48" s="76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</row>
    <row r="49" ht="15.75" customHeight="1">
      <c r="A49" s="70" t="s">
        <v>171</v>
      </c>
      <c r="B49" s="70"/>
      <c r="C49" s="70" t="s">
        <v>167</v>
      </c>
      <c r="D49" s="71"/>
      <c r="E49" s="73"/>
      <c r="F49" s="74" t="s">
        <v>172</v>
      </c>
      <c r="G49" s="76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</row>
    <row r="50" ht="15.75" customHeight="1">
      <c r="A50" s="1" t="s">
        <v>171</v>
      </c>
      <c r="B50" s="1"/>
      <c r="C50" s="1" t="s">
        <v>174</v>
      </c>
      <c r="D50" s="10"/>
      <c r="E50" s="11"/>
      <c r="F50" s="3"/>
      <c r="G50" s="5"/>
    </row>
    <row r="51" ht="15.75" customHeight="1">
      <c r="A51" s="1" t="s">
        <v>176</v>
      </c>
      <c r="B51" s="1"/>
      <c r="C51" s="1" t="s">
        <v>167</v>
      </c>
      <c r="D51" s="10"/>
      <c r="E51" s="11"/>
      <c r="F51" s="3"/>
      <c r="G51" s="5"/>
    </row>
    <row r="52" ht="15.75" customHeight="1">
      <c r="A52" s="1" t="s">
        <v>179</v>
      </c>
      <c r="B52" s="1"/>
      <c r="C52" s="1" t="s">
        <v>167</v>
      </c>
      <c r="D52" s="10"/>
      <c r="E52" s="11"/>
      <c r="F52" s="3"/>
      <c r="G52" s="5"/>
    </row>
    <row r="53" ht="15.75" customHeight="1">
      <c r="A53" s="1" t="s">
        <v>180</v>
      </c>
      <c r="B53" s="1"/>
      <c r="C53" s="1" t="s">
        <v>181</v>
      </c>
      <c r="D53" s="10"/>
      <c r="E53" s="11"/>
      <c r="F53" s="3"/>
      <c r="G53" s="5"/>
    </row>
    <row r="54" ht="15.75" customHeight="1">
      <c r="A54" s="70" t="s">
        <v>182</v>
      </c>
      <c r="B54" s="70"/>
      <c r="C54" s="70" t="s">
        <v>167</v>
      </c>
      <c r="D54" s="71"/>
      <c r="E54" s="73"/>
      <c r="F54" s="74" t="s">
        <v>184</v>
      </c>
      <c r="G54" s="76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</row>
    <row r="55" ht="15.75" customHeight="1">
      <c r="A55" s="1" t="s">
        <v>182</v>
      </c>
      <c r="B55" s="1"/>
      <c r="C55" s="1" t="s">
        <v>167</v>
      </c>
      <c r="D55" s="10"/>
      <c r="E55" s="11"/>
      <c r="F55" s="3"/>
      <c r="G55" s="5"/>
    </row>
    <row r="56" ht="15.75" customHeight="1">
      <c r="A56" s="1" t="s">
        <v>185</v>
      </c>
      <c r="B56" s="1"/>
      <c r="C56" s="1" t="s">
        <v>167</v>
      </c>
      <c r="D56" s="10"/>
      <c r="E56" s="11"/>
      <c r="F56" s="3"/>
      <c r="G56" s="5"/>
    </row>
    <row r="57" ht="15.75" customHeight="1">
      <c r="A57" s="1" t="s">
        <v>186</v>
      </c>
      <c r="B57" s="1"/>
      <c r="C57" s="1" t="s">
        <v>187</v>
      </c>
      <c r="D57" s="10"/>
      <c r="E57" s="11"/>
      <c r="F57" s="3"/>
      <c r="G57" s="5"/>
    </row>
    <row r="58" ht="15.75" customHeight="1">
      <c r="A58" s="70" t="s">
        <v>188</v>
      </c>
      <c r="B58" s="70"/>
      <c r="C58" s="70" t="s">
        <v>167</v>
      </c>
      <c r="D58" s="71"/>
      <c r="E58" s="73"/>
      <c r="F58" s="74" t="s">
        <v>189</v>
      </c>
      <c r="G58" s="76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</row>
    <row r="59" ht="15.75" customHeight="1">
      <c r="A59" s="1" t="s">
        <v>190</v>
      </c>
      <c r="B59" s="1"/>
      <c r="C59" s="1"/>
      <c r="D59" s="10"/>
      <c r="E59" s="11"/>
      <c r="F59" s="3"/>
      <c r="G59" s="5"/>
    </row>
    <row r="60" ht="15.75" customHeight="1">
      <c r="A60" s="1" t="s">
        <v>190</v>
      </c>
      <c r="B60" s="1"/>
      <c r="C60" s="1"/>
      <c r="D60" s="10"/>
      <c r="E60" s="11"/>
      <c r="F60" s="3"/>
      <c r="G60" s="5"/>
    </row>
    <row r="61" ht="15.75" customHeight="1">
      <c r="A61" s="70" t="s">
        <v>191</v>
      </c>
      <c r="B61" s="70"/>
      <c r="C61" s="70"/>
      <c r="D61" s="71"/>
      <c r="E61" s="73"/>
      <c r="F61" s="74" t="s">
        <v>192</v>
      </c>
      <c r="G61" s="76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</row>
    <row r="62" ht="15.75" customHeight="1">
      <c r="A62" s="1" t="s">
        <v>194</v>
      </c>
      <c r="B62" s="1"/>
      <c r="C62" s="1" t="s">
        <v>195</v>
      </c>
      <c r="D62" s="10"/>
      <c r="E62" s="11"/>
      <c r="F62" s="3"/>
      <c r="G62" s="5"/>
    </row>
    <row r="63" ht="15.75" customHeight="1">
      <c r="A63" s="1" t="s">
        <v>196</v>
      </c>
      <c r="B63" s="1"/>
      <c r="C63" s="1" t="s">
        <v>197</v>
      </c>
      <c r="D63" s="10"/>
      <c r="E63" s="11"/>
      <c r="F63" s="3"/>
      <c r="G63" s="5"/>
    </row>
    <row r="64" ht="15.75" customHeight="1">
      <c r="A64" s="1" t="s">
        <v>196</v>
      </c>
      <c r="B64" s="1"/>
      <c r="C64" s="1" t="s">
        <v>198</v>
      </c>
      <c r="D64" s="10"/>
      <c r="E64" s="11"/>
      <c r="F64" s="3"/>
      <c r="G64" s="5"/>
    </row>
    <row r="65" ht="15.75" customHeight="1">
      <c r="A65" s="5" t="s">
        <v>200</v>
      </c>
      <c r="B65" s="5"/>
      <c r="C65" s="5" t="s">
        <v>201</v>
      </c>
      <c r="D65" s="106"/>
      <c r="E65" s="68"/>
      <c r="F65" s="107"/>
      <c r="G65" s="5"/>
    </row>
    <row r="66" ht="15.75" customHeight="1">
      <c r="A66" s="76" t="s">
        <v>202</v>
      </c>
      <c r="B66" s="76"/>
      <c r="C66" s="76"/>
      <c r="D66" s="108"/>
      <c r="E66" s="109"/>
      <c r="F66" s="74" t="s">
        <v>204</v>
      </c>
      <c r="G66" s="76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</row>
    <row r="67" ht="15.75" customHeight="1">
      <c r="A67" s="5" t="s">
        <v>205</v>
      </c>
      <c r="B67" s="5"/>
      <c r="C67" s="5"/>
      <c r="D67" s="106"/>
      <c r="E67" s="68"/>
      <c r="F67" s="107"/>
      <c r="G67" s="5"/>
    </row>
    <row r="68" ht="15.75" customHeight="1">
      <c r="A68" s="5" t="s">
        <v>206</v>
      </c>
      <c r="B68" s="5"/>
      <c r="C68" s="5"/>
      <c r="D68" s="106"/>
      <c r="E68" s="68"/>
      <c r="F68" s="107"/>
      <c r="G68" s="5"/>
    </row>
    <row r="69" ht="15.75" customHeight="1">
      <c r="A69" s="5" t="s">
        <v>207</v>
      </c>
      <c r="B69" s="5"/>
      <c r="C69" s="5"/>
      <c r="D69" s="106"/>
      <c r="E69" s="68"/>
      <c r="F69" s="107"/>
      <c r="G69" s="5"/>
    </row>
    <row r="70" ht="15.75" customHeight="1">
      <c r="A70" s="5" t="s">
        <v>209</v>
      </c>
      <c r="B70" s="5"/>
      <c r="C70" s="5" t="s">
        <v>210</v>
      </c>
      <c r="D70" s="106"/>
      <c r="E70" s="68"/>
      <c r="F70" s="107"/>
      <c r="G70" s="5"/>
    </row>
    <row r="71" ht="15.75" customHeight="1">
      <c r="A71" s="5" t="s">
        <v>211</v>
      </c>
      <c r="B71" s="5"/>
      <c r="C71" s="5" t="s">
        <v>212</v>
      </c>
      <c r="D71" s="106"/>
      <c r="E71" s="68"/>
      <c r="F71" s="107"/>
      <c r="G71" s="5" t="s">
        <v>64</v>
      </c>
    </row>
    <row r="72" ht="15.75" customHeight="1">
      <c r="A72" s="5" t="s">
        <v>213</v>
      </c>
      <c r="B72" s="5"/>
      <c r="C72" s="5" t="s">
        <v>214</v>
      </c>
      <c r="D72" s="106"/>
      <c r="E72" s="68"/>
      <c r="F72" s="107"/>
      <c r="G72" s="5"/>
    </row>
    <row r="73" ht="15.75" customHeight="1">
      <c r="A73" s="5" t="s">
        <v>215</v>
      </c>
      <c r="B73" s="5"/>
      <c r="C73" s="5" t="s">
        <v>216</v>
      </c>
      <c r="D73" s="106"/>
      <c r="E73" s="68"/>
      <c r="F73" s="107"/>
      <c r="G73" s="5"/>
    </row>
    <row r="74" ht="15.75" customHeight="1">
      <c r="A74" s="5" t="s">
        <v>218</v>
      </c>
      <c r="B74" s="5"/>
      <c r="C74" s="5" t="s">
        <v>219</v>
      </c>
      <c r="D74" s="106"/>
      <c r="E74" s="68"/>
      <c r="F74" s="107"/>
      <c r="G74" s="5"/>
    </row>
    <row r="75" ht="15.75" customHeight="1">
      <c r="A75" s="76" t="s">
        <v>220</v>
      </c>
      <c r="B75" s="76"/>
      <c r="C75" s="76"/>
      <c r="D75" s="108"/>
      <c r="E75" s="109"/>
      <c r="F75" s="111" t="s">
        <v>221</v>
      </c>
      <c r="G75" s="76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</row>
    <row r="76" ht="15.75" customHeight="1">
      <c r="A76" s="5" t="s">
        <v>222</v>
      </c>
      <c r="B76" s="5"/>
      <c r="C76" s="5"/>
      <c r="D76" s="106"/>
      <c r="E76" s="68"/>
      <c r="F76" s="107"/>
      <c r="G76" s="5"/>
    </row>
    <row r="77" ht="15.75" customHeight="1">
      <c r="A77" s="5" t="s">
        <v>223</v>
      </c>
      <c r="B77" s="5"/>
      <c r="C77" s="5" t="s">
        <v>224</v>
      </c>
      <c r="D77" s="106"/>
      <c r="E77" s="68"/>
      <c r="F77" s="107"/>
      <c r="G77" s="5" t="s">
        <v>225</v>
      </c>
    </row>
    <row r="78" ht="15.75" customHeight="1">
      <c r="A78" s="64"/>
      <c r="B78" s="64"/>
      <c r="C78" s="64"/>
      <c r="E78" s="64"/>
      <c r="F78" s="96"/>
      <c r="G78" s="64"/>
    </row>
    <row r="79" ht="15.75" customHeight="1">
      <c r="A79" s="64"/>
      <c r="B79" s="64"/>
      <c r="C79" s="64"/>
      <c r="E79" s="64"/>
      <c r="F79" s="96"/>
      <c r="G79" s="64"/>
    </row>
    <row r="80" ht="15.75" customHeight="1">
      <c r="A80" s="64"/>
      <c r="B80" s="64"/>
      <c r="F80" s="96"/>
    </row>
    <row r="81" ht="15.75" customHeight="1">
      <c r="A81" s="64"/>
      <c r="B81" s="64"/>
      <c r="F81" s="96"/>
    </row>
    <row r="82" ht="15.75" customHeight="1">
      <c r="A82" s="64"/>
      <c r="B82" s="64"/>
      <c r="F82" s="96"/>
    </row>
    <row r="83" ht="15.75" customHeight="1">
      <c r="A83" s="64"/>
      <c r="B83" s="64"/>
      <c r="F83" s="96"/>
    </row>
    <row r="84" ht="15.75" customHeight="1">
      <c r="A84" s="113" t="s">
        <v>1</v>
      </c>
      <c r="B84" s="113"/>
      <c r="E84" s="114">
        <f>sum(E4:E77)</f>
        <v>0</v>
      </c>
      <c r="F84" s="96"/>
    </row>
    <row r="85" ht="15.75" customHeight="1"/>
    <row r="86" ht="15.75" customHeight="1"/>
    <row r="87" ht="15.75" customHeight="1">
      <c r="F87" s="96"/>
    </row>
    <row r="88" ht="15.75" customHeight="1">
      <c r="F88" s="96"/>
    </row>
    <row r="89" ht="15.75" customHeight="1">
      <c r="F89" s="96"/>
    </row>
    <row r="90" ht="15.75" customHeight="1">
      <c r="F90" s="96"/>
    </row>
    <row r="91" ht="15.75" customHeight="1">
      <c r="E91" s="75"/>
    </row>
    <row r="92" ht="15.75" customHeight="1"/>
    <row r="93" ht="15.75" customHeight="1">
      <c r="E93" s="64"/>
    </row>
    <row r="94" ht="15.75" customHeight="1"/>
    <row r="95" ht="15.75" customHeight="1"/>
    <row r="96" ht="15.75" customHeight="1"/>
    <row r="97" ht="15.75" customHeight="1">
      <c r="E97" s="64"/>
    </row>
    <row r="98" ht="15.75" customHeight="1"/>
    <row r="99" ht="15.75" customHeight="1"/>
    <row r="100" ht="15.75" customHeight="1">
      <c r="E100" s="64"/>
    </row>
    <row r="101" ht="15.75" customHeight="1"/>
    <row r="102" ht="15.75" customHeight="1">
      <c r="E102" s="64"/>
    </row>
    <row r="103" ht="15.75" customHeight="1"/>
    <row r="104" ht="15.75" customHeight="1"/>
    <row r="105" ht="15.75" customHeight="1"/>
    <row r="106" ht="15.75" customHeight="1"/>
    <row r="107" ht="15.75" customHeight="1">
      <c r="E107" s="64"/>
    </row>
    <row r="108" ht="15.75" customHeight="1"/>
    <row r="109" ht="15.75" customHeight="1"/>
    <row r="110" ht="15.75" customHeight="1"/>
    <row r="111" ht="15.75" customHeight="1"/>
    <row r="112" ht="15.75" customHeight="1">
      <c r="E112" s="64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>
      <c r="F153" s="96"/>
    </row>
    <row r="154" ht="15.75" customHeight="1">
      <c r="F154" s="96"/>
    </row>
    <row r="155" ht="15.75" customHeight="1">
      <c r="F155" s="96"/>
    </row>
    <row r="156" ht="15.75" customHeight="1">
      <c r="F156" s="96"/>
    </row>
    <row r="157" ht="15.75" customHeight="1">
      <c r="F157" s="96"/>
    </row>
    <row r="158" ht="15.75" customHeight="1">
      <c r="F158" s="96"/>
    </row>
    <row r="159" ht="15.75" customHeight="1">
      <c r="F159" s="96"/>
    </row>
    <row r="160" ht="15.75" customHeight="1">
      <c r="F160" s="96"/>
    </row>
    <row r="161" ht="15.75" customHeight="1">
      <c r="F161" s="96"/>
    </row>
    <row r="162" ht="15.75" customHeight="1">
      <c r="F162" s="96"/>
    </row>
    <row r="163" ht="15.75" customHeight="1">
      <c r="F163" s="96"/>
    </row>
    <row r="164" ht="15.75" customHeight="1">
      <c r="F164" s="96"/>
    </row>
    <row r="165" ht="15.75" customHeight="1">
      <c r="F165" s="96"/>
    </row>
    <row r="166" ht="15.75" customHeight="1">
      <c r="F166" s="96"/>
    </row>
    <row r="167" ht="15.75" customHeight="1">
      <c r="F167" s="96"/>
    </row>
    <row r="168" ht="15.75" customHeight="1">
      <c r="F168" s="96"/>
    </row>
    <row r="169" ht="15.75" customHeight="1">
      <c r="F169" s="96"/>
    </row>
    <row r="170" ht="15.75" customHeight="1">
      <c r="F170" s="96"/>
    </row>
    <row r="171" ht="15.75" customHeight="1">
      <c r="F171" s="96"/>
    </row>
    <row r="172" ht="15.75" customHeight="1">
      <c r="F172" s="96"/>
    </row>
    <row r="173" ht="15.75" customHeight="1">
      <c r="F173" s="96"/>
    </row>
    <row r="174" ht="15.75" customHeight="1">
      <c r="F174" s="96"/>
    </row>
    <row r="175" ht="15.75" customHeight="1">
      <c r="F175" s="96"/>
    </row>
    <row r="176" ht="15.75" customHeight="1">
      <c r="F176" s="96"/>
    </row>
    <row r="177" ht="15.75" customHeight="1">
      <c r="F177" s="96"/>
    </row>
    <row r="178" ht="15.75" customHeight="1">
      <c r="F178" s="96"/>
    </row>
    <row r="179" ht="15.75" customHeight="1">
      <c r="F179" s="96"/>
    </row>
    <row r="180" ht="15.75" customHeight="1">
      <c r="F180" s="96"/>
    </row>
    <row r="181" ht="15.75" customHeight="1">
      <c r="F181" s="96"/>
    </row>
    <row r="182" ht="15.75" customHeight="1">
      <c r="F182" s="96"/>
    </row>
    <row r="183" ht="15.75" customHeight="1">
      <c r="F183" s="96"/>
    </row>
    <row r="184" ht="15.75" customHeight="1">
      <c r="F184" s="96"/>
    </row>
    <row r="185" ht="15.75" customHeight="1">
      <c r="F185" s="96"/>
    </row>
    <row r="186" ht="15.75" customHeight="1">
      <c r="F186" s="96"/>
    </row>
    <row r="187" ht="15.75" customHeight="1">
      <c r="F187" s="96"/>
    </row>
    <row r="188" ht="15.75" customHeight="1">
      <c r="F188" s="96"/>
    </row>
    <row r="189" ht="15.75" customHeight="1">
      <c r="F189" s="96"/>
    </row>
    <row r="190" ht="15.75" customHeight="1">
      <c r="F190" s="96"/>
    </row>
    <row r="191" ht="15.75" customHeight="1">
      <c r="F191" s="96"/>
    </row>
    <row r="192" ht="15.75" customHeight="1">
      <c r="F192" s="96"/>
    </row>
    <row r="193" ht="15.75" customHeight="1">
      <c r="F193" s="96"/>
    </row>
    <row r="194" ht="15.75" customHeight="1">
      <c r="F194" s="96"/>
    </row>
    <row r="195" ht="15.75" customHeight="1">
      <c r="F195" s="96"/>
    </row>
    <row r="196" ht="15.75" customHeight="1">
      <c r="F196" s="96"/>
    </row>
    <row r="197" ht="15.75" customHeight="1">
      <c r="F197" s="96"/>
    </row>
    <row r="198" ht="15.75" customHeight="1">
      <c r="F198" s="96"/>
    </row>
    <row r="199" ht="15.75" customHeight="1">
      <c r="F199" s="96"/>
    </row>
    <row r="200" ht="15.75" customHeight="1">
      <c r="F200" s="96"/>
    </row>
    <row r="201" ht="15.75" customHeight="1">
      <c r="F201" s="96"/>
    </row>
    <row r="202" ht="15.75" customHeight="1">
      <c r="F202" s="96"/>
    </row>
    <row r="203" ht="15.75" customHeight="1">
      <c r="F203" s="96"/>
    </row>
    <row r="204" ht="15.75" customHeight="1">
      <c r="F204" s="96"/>
    </row>
    <row r="205" ht="15.75" customHeight="1">
      <c r="F205" s="96"/>
    </row>
    <row r="206" ht="15.75" customHeight="1">
      <c r="F206" s="96"/>
    </row>
    <row r="207" ht="15.75" customHeight="1">
      <c r="F207" s="96"/>
    </row>
    <row r="208" ht="15.75" customHeight="1">
      <c r="F208" s="96"/>
    </row>
    <row r="209" ht="15.75" customHeight="1">
      <c r="F209" s="96"/>
    </row>
    <row r="210" ht="15.75" customHeight="1">
      <c r="F210" s="96"/>
    </row>
    <row r="211" ht="15.75" customHeight="1">
      <c r="F211" s="96"/>
    </row>
    <row r="212" ht="15.75" customHeight="1">
      <c r="F212" s="96"/>
    </row>
    <row r="213" ht="15.75" customHeight="1">
      <c r="F213" s="96"/>
    </row>
    <row r="214" ht="15.75" customHeight="1">
      <c r="F214" s="96"/>
    </row>
    <row r="215" ht="15.75" customHeight="1">
      <c r="F215" s="96"/>
    </row>
    <row r="216" ht="15.75" customHeight="1">
      <c r="F216" s="96"/>
    </row>
    <row r="217" ht="15.75" customHeight="1">
      <c r="F217" s="96"/>
    </row>
    <row r="218" ht="15.75" customHeight="1">
      <c r="F218" s="96"/>
    </row>
    <row r="219" ht="15.75" customHeight="1">
      <c r="F219" s="96"/>
    </row>
    <row r="220" ht="15.75" customHeight="1">
      <c r="F220" s="96"/>
    </row>
    <row r="221" ht="15.75" customHeight="1">
      <c r="F221" s="96"/>
    </row>
    <row r="222" ht="15.75" customHeight="1">
      <c r="F222" s="96"/>
    </row>
    <row r="223" ht="15.75" customHeight="1">
      <c r="F223" s="96"/>
    </row>
    <row r="224" ht="15.75" customHeight="1">
      <c r="F224" s="96"/>
    </row>
    <row r="225" ht="15.75" customHeight="1">
      <c r="F225" s="96"/>
    </row>
    <row r="226" ht="15.75" customHeight="1">
      <c r="F226" s="96"/>
    </row>
    <row r="227" ht="15.75" customHeight="1">
      <c r="F227" s="96"/>
    </row>
    <row r="228" ht="15.75" customHeight="1">
      <c r="F228" s="96"/>
    </row>
    <row r="229" ht="15.75" customHeight="1">
      <c r="F229" s="96"/>
    </row>
    <row r="230" ht="15.75" customHeight="1">
      <c r="F230" s="96"/>
    </row>
    <row r="231" ht="15.75" customHeight="1">
      <c r="F231" s="96"/>
    </row>
    <row r="232" ht="15.75" customHeight="1">
      <c r="F232" s="96"/>
    </row>
    <row r="233" ht="15.75" customHeight="1">
      <c r="F233" s="96"/>
    </row>
    <row r="234" ht="15.75" customHeight="1">
      <c r="F234" s="96"/>
    </row>
    <row r="235" ht="15.75" customHeight="1">
      <c r="F235" s="96"/>
    </row>
    <row r="236" ht="15.75" customHeight="1">
      <c r="F236" s="96"/>
    </row>
    <row r="237" ht="15.75" customHeight="1">
      <c r="F237" s="96"/>
    </row>
    <row r="238" ht="15.75" customHeight="1">
      <c r="F238" s="96"/>
    </row>
    <row r="239" ht="15.75" customHeight="1">
      <c r="F239" s="96"/>
    </row>
    <row r="240" ht="15.75" customHeight="1">
      <c r="F240" s="96"/>
    </row>
    <row r="241" ht="15.75" customHeight="1">
      <c r="F241" s="96"/>
    </row>
    <row r="242" ht="15.75" customHeight="1">
      <c r="F242" s="96"/>
    </row>
    <row r="243" ht="15.75" customHeight="1">
      <c r="F243" s="96"/>
    </row>
    <row r="244" ht="15.75" customHeight="1">
      <c r="F244" s="96"/>
    </row>
    <row r="245" ht="15.75" customHeight="1">
      <c r="F245" s="96"/>
    </row>
    <row r="246" ht="15.75" customHeight="1">
      <c r="F246" s="96"/>
    </row>
    <row r="247" ht="15.75" customHeight="1">
      <c r="F247" s="96"/>
    </row>
    <row r="248" ht="15.75" customHeight="1">
      <c r="F248" s="96"/>
    </row>
    <row r="249" ht="15.75" customHeight="1">
      <c r="F249" s="96"/>
    </row>
    <row r="250" ht="15.75" customHeight="1">
      <c r="F250" s="96"/>
    </row>
    <row r="251" ht="15.75" customHeight="1">
      <c r="F251" s="96"/>
    </row>
    <row r="252" ht="15.75" customHeight="1">
      <c r="F252" s="96"/>
    </row>
    <row r="253" ht="15.75" customHeight="1">
      <c r="F253" s="96"/>
    </row>
    <row r="254" ht="15.75" customHeight="1">
      <c r="F254" s="96"/>
    </row>
    <row r="255" ht="15.75" customHeight="1">
      <c r="F255" s="96"/>
    </row>
    <row r="256" ht="15.75" customHeight="1">
      <c r="F256" s="96"/>
    </row>
    <row r="257" ht="15.75" customHeight="1">
      <c r="F257" s="96"/>
    </row>
    <row r="258" ht="15.75" customHeight="1">
      <c r="F258" s="96"/>
    </row>
    <row r="259" ht="15.75" customHeight="1">
      <c r="F259" s="96"/>
    </row>
    <row r="260" ht="15.75" customHeight="1">
      <c r="F260" s="96"/>
    </row>
    <row r="261" ht="15.75" customHeight="1">
      <c r="F261" s="96"/>
    </row>
    <row r="262" ht="15.75" customHeight="1">
      <c r="F262" s="96"/>
    </row>
    <row r="263" ht="15.75" customHeight="1">
      <c r="F263" s="96"/>
    </row>
    <row r="264" ht="15.75" customHeight="1">
      <c r="F264" s="96"/>
    </row>
    <row r="265" ht="15.75" customHeight="1">
      <c r="F265" s="96"/>
    </row>
    <row r="266" ht="15.75" customHeight="1">
      <c r="F266" s="96"/>
    </row>
    <row r="267" ht="15.75" customHeight="1">
      <c r="F267" s="96"/>
    </row>
    <row r="268" ht="15.75" customHeight="1">
      <c r="F268" s="96"/>
    </row>
    <row r="269" ht="15.75" customHeight="1">
      <c r="F269" s="96"/>
    </row>
    <row r="270" ht="15.75" customHeight="1">
      <c r="F270" s="96"/>
    </row>
    <row r="271" ht="15.75" customHeight="1">
      <c r="F271" s="96"/>
    </row>
    <row r="272" ht="15.75" customHeight="1">
      <c r="F272" s="96"/>
    </row>
    <row r="273" ht="15.75" customHeight="1">
      <c r="F273" s="96"/>
    </row>
    <row r="274" ht="15.75" customHeight="1">
      <c r="F274" s="96"/>
    </row>
    <row r="275" ht="15.75" customHeight="1">
      <c r="F275" s="96"/>
    </row>
    <row r="276" ht="15.75" customHeight="1">
      <c r="F276" s="96"/>
    </row>
    <row r="277" ht="15.75" customHeight="1">
      <c r="F277" s="96"/>
    </row>
    <row r="278" ht="15.75" customHeight="1">
      <c r="F278" s="96"/>
    </row>
    <row r="279" ht="15.75" customHeight="1">
      <c r="F279" s="96"/>
    </row>
    <row r="280" ht="15.75" customHeight="1">
      <c r="F280" s="96"/>
    </row>
    <row r="281" ht="15.75" customHeight="1">
      <c r="F281" s="96"/>
    </row>
    <row r="282" ht="15.75" customHeight="1">
      <c r="F282" s="96"/>
    </row>
    <row r="283" ht="15.75" customHeight="1">
      <c r="F283" s="96"/>
    </row>
    <row r="284" ht="15.75" customHeight="1">
      <c r="F284" s="96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12.63"/>
    <col customWidth="1" min="4" max="4" width="20.75"/>
    <col customWidth="1" min="5" max="5" width="12.63"/>
    <col customWidth="1" min="6" max="6" width="13.75"/>
  </cols>
  <sheetData>
    <row r="1" ht="15.75" customHeight="1">
      <c r="A1" s="9" t="s">
        <v>1</v>
      </c>
      <c r="B1" s="13"/>
      <c r="C1" s="13"/>
      <c r="D1" s="15">
        <v>54450.0</v>
      </c>
      <c r="E1" s="16"/>
      <c r="F1" s="16"/>
    </row>
    <row r="2" ht="15.75" customHeight="1">
      <c r="A2" s="19" t="s">
        <v>30</v>
      </c>
      <c r="B2" s="21"/>
      <c r="C2" s="21"/>
      <c r="D2" s="23">
        <v>828.0</v>
      </c>
      <c r="E2" s="25"/>
      <c r="F2" s="25"/>
    </row>
    <row r="3" ht="15.75" customHeight="1">
      <c r="A3" s="19" t="s">
        <v>38</v>
      </c>
      <c r="B3" s="21"/>
      <c r="C3" s="21"/>
      <c r="D3" s="23">
        <v>32100.0</v>
      </c>
      <c r="E3" s="25"/>
      <c r="F3" s="25"/>
    </row>
    <row r="4" ht="15.75" customHeight="1">
      <c r="A4" s="19" t="s">
        <v>39</v>
      </c>
      <c r="B4" s="21"/>
      <c r="C4" s="21"/>
      <c r="D4" s="23">
        <v>78600.0</v>
      </c>
      <c r="E4" s="25"/>
      <c r="F4" s="25"/>
    </row>
    <row r="5" ht="15.75" customHeight="1">
      <c r="A5" s="19" t="s">
        <v>41</v>
      </c>
      <c r="B5" s="21"/>
      <c r="C5" s="21"/>
      <c r="D5" s="29">
        <v>600000.0</v>
      </c>
      <c r="E5" s="25"/>
      <c r="F5" s="25"/>
    </row>
    <row r="6" ht="15.75" customHeight="1">
      <c r="A6" s="19" t="s">
        <v>42</v>
      </c>
      <c r="B6" s="21"/>
      <c r="C6" s="21"/>
      <c r="D6" s="29">
        <f>2171</f>
        <v>2171</v>
      </c>
      <c r="E6" s="25" t="s">
        <v>49</v>
      </c>
      <c r="F6" s="25"/>
    </row>
    <row r="7" ht="15.75" customHeight="1">
      <c r="A7" s="19" t="s">
        <v>53</v>
      </c>
      <c r="B7" s="21"/>
      <c r="C7" s="21"/>
      <c r="D7" s="29">
        <v>62700.0</v>
      </c>
      <c r="E7" s="25"/>
      <c r="F7" s="25"/>
    </row>
    <row r="8" ht="15.75" customHeight="1">
      <c r="A8" s="25"/>
      <c r="B8" s="25"/>
      <c r="C8" s="25"/>
      <c r="E8" s="25"/>
      <c r="F8" s="25"/>
    </row>
    <row r="9" ht="15.75" customHeight="1">
      <c r="A9" s="39" t="s">
        <v>56</v>
      </c>
      <c r="B9" s="39"/>
      <c r="C9" s="39"/>
      <c r="D9" s="48">
        <f>D1+D2+D4+D5+D6+D7-D3</f>
        <v>766649</v>
      </c>
      <c r="E9" s="25"/>
      <c r="F9" s="25"/>
    </row>
    <row r="10" ht="15.75" customHeight="1">
      <c r="A10" s="25"/>
      <c r="B10" s="25"/>
      <c r="C10" s="25"/>
      <c r="D10" s="25"/>
      <c r="E10" s="25"/>
      <c r="F10" s="25"/>
    </row>
    <row r="11" ht="15.75" customHeight="1">
      <c r="A11" s="25" t="s">
        <v>70</v>
      </c>
      <c r="B11" s="25" t="s">
        <v>71</v>
      </c>
      <c r="C11" s="25"/>
      <c r="D11" s="25" t="s">
        <v>73</v>
      </c>
    </row>
    <row r="12" ht="15.75" customHeight="1"/>
    <row r="13" ht="15.75" customHeight="1">
      <c r="B13" s="57" t="s">
        <v>76</v>
      </c>
      <c r="C13" s="40"/>
    </row>
    <row r="14" ht="15.75" customHeight="1">
      <c r="B14" s="5" t="s">
        <v>80</v>
      </c>
      <c r="C14" s="5">
        <f>40000+3000+65000-75000-18000</f>
        <v>15000</v>
      </c>
      <c r="D14" s="64" t="s">
        <v>84</v>
      </c>
      <c r="E14" s="64"/>
    </row>
    <row r="15" ht="15.75" customHeight="1">
      <c r="B15" s="5" t="s">
        <v>86</v>
      </c>
      <c r="C15" s="5"/>
      <c r="D15" s="64"/>
    </row>
    <row r="16" ht="15.75" customHeight="1">
      <c r="B16" s="5" t="s">
        <v>88</v>
      </c>
      <c r="C16" s="5"/>
      <c r="F16" s="64"/>
    </row>
    <row r="17" ht="15.75" customHeight="1">
      <c r="B17" s="5" t="s">
        <v>64</v>
      </c>
      <c r="C17" s="68">
        <v>38000.0</v>
      </c>
    </row>
    <row r="18" ht="15.75" customHeight="1">
      <c r="B18" s="5" t="s">
        <v>92</v>
      </c>
      <c r="C18" s="5">
        <v>15000.0</v>
      </c>
    </row>
    <row r="19" ht="15.75" customHeight="1">
      <c r="B19" s="5" t="s">
        <v>94</v>
      </c>
      <c r="C19" s="5">
        <v>10000.0</v>
      </c>
    </row>
    <row r="20" ht="15.75" customHeight="1">
      <c r="B20" s="5" t="s">
        <v>96</v>
      </c>
      <c r="C20" s="68"/>
    </row>
    <row r="21" ht="15.75" customHeight="1">
      <c r="B21" s="5" t="s">
        <v>97</v>
      </c>
      <c r="C21" s="68">
        <v>15000.0</v>
      </c>
    </row>
    <row r="22" ht="15.75" customHeight="1">
      <c r="B22" s="5" t="s">
        <v>100</v>
      </c>
      <c r="C22" s="68">
        <v>11500.0</v>
      </c>
    </row>
    <row r="23" ht="15.75" customHeight="1">
      <c r="B23" s="5" t="s">
        <v>101</v>
      </c>
      <c r="C23" s="68">
        <v>6000.0</v>
      </c>
    </row>
    <row r="24" ht="15.75" customHeight="1">
      <c r="B24" s="64"/>
      <c r="C24" s="75"/>
    </row>
    <row r="25" ht="15.75" customHeight="1">
      <c r="B25" s="64"/>
      <c r="C25" s="75"/>
    </row>
    <row r="26" ht="15.75" customHeight="1">
      <c r="B26" s="64"/>
      <c r="C26" s="75"/>
    </row>
    <row r="27" ht="15.75" customHeight="1">
      <c r="C27" s="64"/>
      <c r="D27" s="64"/>
    </row>
    <row r="28" ht="15.75" customHeight="1">
      <c r="B28" s="78" t="s">
        <v>106</v>
      </c>
      <c r="C28" s="40"/>
    </row>
    <row r="29" ht="15.75" customHeight="1">
      <c r="B29" s="5" t="s">
        <v>110</v>
      </c>
      <c r="C29" s="5">
        <f>sum(C14:C23)</f>
        <v>110500</v>
      </c>
    </row>
    <row r="30" ht="15.75" customHeight="1">
      <c r="D30" s="64"/>
    </row>
    <row r="31" ht="15.75" customHeight="1"/>
    <row r="32" ht="15.75" customHeight="1">
      <c r="C32" s="81"/>
      <c r="D32" s="83" t="s">
        <v>123</v>
      </c>
    </row>
    <row r="33" ht="15.75" customHeight="1">
      <c r="D33" s="5" t="s">
        <v>125</v>
      </c>
      <c r="E33" s="5">
        <f>33000</f>
        <v>33000</v>
      </c>
    </row>
    <row r="34" ht="15.75" customHeight="1">
      <c r="D34" s="5" t="s">
        <v>128</v>
      </c>
      <c r="E34" s="5"/>
    </row>
    <row r="35" ht="15.75" customHeight="1">
      <c r="D35" s="5" t="s">
        <v>131</v>
      </c>
      <c r="E35" s="5">
        <v>5000.0</v>
      </c>
    </row>
    <row r="36" ht="15.75" customHeight="1">
      <c r="D36" s="5" t="s">
        <v>61</v>
      </c>
      <c r="E36" s="68">
        <f>303000-145000</f>
        <v>158000</v>
      </c>
    </row>
    <row r="37" ht="15.75" customHeight="1">
      <c r="D37" s="5" t="s">
        <v>137</v>
      </c>
      <c r="E37" s="68">
        <v>25000.0</v>
      </c>
    </row>
    <row r="38" ht="15.75" customHeight="1">
      <c r="D38" s="5" t="s">
        <v>122</v>
      </c>
      <c r="E38" s="68"/>
    </row>
    <row r="39" ht="15.75" customHeight="1">
      <c r="D39" s="5" t="s">
        <v>138</v>
      </c>
      <c r="E39" s="68"/>
    </row>
    <row r="40" ht="15.75" customHeight="1">
      <c r="D40" s="5" t="s">
        <v>140</v>
      </c>
      <c r="E40" s="68"/>
    </row>
    <row r="41" ht="15.75" customHeight="1">
      <c r="D41" s="5" t="s">
        <v>131</v>
      </c>
      <c r="E41" s="5">
        <v>100000.0</v>
      </c>
    </row>
    <row r="42" ht="15.75" customHeight="1"/>
    <row r="43" ht="15.75" customHeight="1">
      <c r="D43" s="83" t="s">
        <v>106</v>
      </c>
    </row>
    <row r="44" ht="15.75" customHeight="1">
      <c r="D44" s="64" t="s">
        <v>110</v>
      </c>
      <c r="E44" s="64">
        <f>sum(E33:E42)</f>
        <v>321000</v>
      </c>
    </row>
    <row r="45" ht="15.75" customHeight="1">
      <c r="C45" s="64"/>
    </row>
    <row r="46" ht="15.75" customHeight="1"/>
    <row r="47" ht="15.75" customHeight="1">
      <c r="B47" s="5" t="s">
        <v>39</v>
      </c>
      <c r="C47" s="68" t="s">
        <v>146</v>
      </c>
    </row>
    <row r="48" ht="15.75" customHeight="1">
      <c r="B48" s="5" t="s">
        <v>148</v>
      </c>
      <c r="C48" s="68">
        <v>58000.0</v>
      </c>
    </row>
    <row r="49" ht="15.75" customHeight="1">
      <c r="B49" s="5" t="s">
        <v>149</v>
      </c>
      <c r="C49" s="89">
        <v>72800.0</v>
      </c>
    </row>
    <row r="50" ht="15.75" customHeight="1">
      <c r="B50" s="5"/>
      <c r="C50" s="5"/>
      <c r="D50" s="64"/>
    </row>
    <row r="51" ht="15.75" customHeight="1">
      <c r="B51" s="5"/>
      <c r="C51" s="5"/>
      <c r="D51" s="64"/>
    </row>
    <row r="52" ht="15.75" customHeight="1">
      <c r="B52" s="5"/>
      <c r="C52" s="5"/>
      <c r="D52" s="64"/>
    </row>
    <row r="53" ht="15.75" customHeight="1">
      <c r="D53" s="64"/>
    </row>
    <row r="54" ht="15.75" customHeight="1">
      <c r="D54" s="64"/>
    </row>
    <row r="55" ht="15.75" customHeight="1">
      <c r="D55" s="5"/>
      <c r="E55" s="5"/>
      <c r="F55" s="5"/>
      <c r="G55" s="5"/>
    </row>
    <row r="56" ht="15.75" customHeight="1">
      <c r="D56" s="5"/>
      <c r="E56" s="68"/>
      <c r="F56" s="68"/>
      <c r="G56" s="5"/>
    </row>
    <row r="57" ht="15.75" customHeight="1">
      <c r="C57" s="64"/>
      <c r="D57" s="5"/>
      <c r="E57" s="68"/>
      <c r="F57" s="68"/>
      <c r="G57" s="5"/>
    </row>
    <row r="58" ht="15.75" customHeight="1">
      <c r="D58" s="5"/>
      <c r="E58" s="68"/>
      <c r="F58" s="5"/>
      <c r="G58" s="5"/>
    </row>
    <row r="59" ht="15.75" customHeight="1">
      <c r="D59" s="5"/>
      <c r="E59" s="68"/>
      <c r="F59" s="68"/>
      <c r="G59" s="5"/>
    </row>
    <row r="60" ht="15.75" customHeight="1">
      <c r="D60" s="5"/>
      <c r="E60" s="68"/>
      <c r="F60" s="68"/>
      <c r="G60" s="5"/>
    </row>
    <row r="61" ht="15.75" customHeight="1">
      <c r="D61" s="5"/>
      <c r="E61" s="5"/>
      <c r="F61" s="5"/>
      <c r="G61" s="5"/>
    </row>
    <row r="62" ht="15.75" customHeight="1">
      <c r="E62" s="75"/>
      <c r="F62" s="75"/>
      <c r="G62" s="64"/>
    </row>
    <row r="63" ht="15.75" customHeight="1"/>
    <row r="64" ht="15.75" customHeight="1"/>
    <row r="65" ht="15.75" customHeight="1">
      <c r="F65" s="96"/>
    </row>
    <row r="66" ht="15.75" customHeight="1"/>
    <row r="67" ht="15.75" customHeight="1">
      <c r="F67" s="75">
        <f>E62-F62</f>
        <v>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1:F11"/>
    <mergeCell ref="B13:C13"/>
    <mergeCell ref="B28:C28"/>
    <mergeCell ref="D32:E32"/>
    <mergeCell ref="D43:E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2.63"/>
    <col customWidth="1" min="3" max="3" width="21.63"/>
    <col customWidth="1" min="4" max="4" width="23.5"/>
    <col customWidth="1" min="5" max="5" width="12.63"/>
    <col customWidth="1" min="6" max="6" width="15.13"/>
    <col customWidth="1" min="7" max="7" width="20.75"/>
    <col customWidth="1" min="10" max="10" width="14.38"/>
  </cols>
  <sheetData>
    <row r="1" ht="15.75" customHeight="1">
      <c r="A1" s="4" t="s">
        <v>2</v>
      </c>
      <c r="B1" s="7" t="s">
        <v>11</v>
      </c>
      <c r="C1" s="8" t="s">
        <v>0</v>
      </c>
      <c r="D1" s="12" t="s">
        <v>15</v>
      </c>
      <c r="E1" s="8" t="s">
        <v>17</v>
      </c>
      <c r="F1" s="8" t="s">
        <v>18</v>
      </c>
      <c r="G1" s="8" t="s">
        <v>19</v>
      </c>
      <c r="H1" s="14" t="s">
        <v>21</v>
      </c>
      <c r="I1" s="8" t="s">
        <v>23</v>
      </c>
      <c r="J1" s="8" t="s">
        <v>24</v>
      </c>
      <c r="K1" s="17" t="s">
        <v>26</v>
      </c>
      <c r="L1" s="18"/>
      <c r="M1" s="18"/>
      <c r="N1" s="18"/>
      <c r="O1" s="18"/>
    </row>
    <row r="2" ht="15.75" customHeight="1">
      <c r="A2" s="20"/>
      <c r="B2" s="22">
        <v>3.0</v>
      </c>
      <c r="C2" s="24" t="s">
        <v>35</v>
      </c>
      <c r="D2" s="27"/>
      <c r="E2" s="28">
        <v>75000.0</v>
      </c>
      <c r="F2" s="30">
        <v>83000.0</v>
      </c>
      <c r="G2" s="32" t="s">
        <v>43</v>
      </c>
      <c r="H2" s="32" t="s">
        <v>1</v>
      </c>
      <c r="I2" s="30"/>
      <c r="J2" s="32"/>
      <c r="K2" s="32"/>
      <c r="L2" s="18"/>
      <c r="M2" s="18"/>
      <c r="N2" s="18"/>
      <c r="O2" s="18"/>
    </row>
    <row r="3" ht="15.75" customHeight="1">
      <c r="A3" s="20"/>
      <c r="B3" s="22">
        <v>3.0</v>
      </c>
      <c r="C3" s="24" t="s">
        <v>44</v>
      </c>
      <c r="D3" s="27"/>
      <c r="E3" s="28"/>
      <c r="F3" s="30"/>
      <c r="G3" s="32"/>
      <c r="H3" s="32"/>
      <c r="I3" s="30"/>
      <c r="J3" s="32"/>
      <c r="K3" s="32"/>
      <c r="L3" s="18"/>
      <c r="M3" s="18"/>
      <c r="N3" s="18"/>
      <c r="O3" s="18"/>
    </row>
    <row r="4" ht="15.75" customHeight="1">
      <c r="A4" s="20"/>
      <c r="B4" s="22">
        <v>4.0</v>
      </c>
      <c r="C4" s="24" t="s">
        <v>46</v>
      </c>
      <c r="D4" s="1"/>
      <c r="E4" s="28">
        <v>140000.0</v>
      </c>
      <c r="F4" s="30">
        <v>170000.0</v>
      </c>
      <c r="G4" s="32" t="s">
        <v>43</v>
      </c>
      <c r="H4" s="32" t="s">
        <v>47</v>
      </c>
      <c r="I4" s="30"/>
      <c r="J4" s="32"/>
      <c r="K4" s="32"/>
      <c r="L4" s="18"/>
      <c r="M4" s="18"/>
      <c r="N4" s="18"/>
      <c r="O4" s="18"/>
    </row>
    <row r="5" ht="15.75" customHeight="1">
      <c r="A5" s="20"/>
      <c r="B5" s="22">
        <v>5.0</v>
      </c>
      <c r="C5" s="24" t="s">
        <v>48</v>
      </c>
      <c r="D5" s="1"/>
      <c r="E5" s="28">
        <v>110000.0</v>
      </c>
      <c r="F5" s="30">
        <v>132000.0</v>
      </c>
      <c r="G5" s="32" t="s">
        <v>51</v>
      </c>
      <c r="H5" s="32" t="s">
        <v>47</v>
      </c>
      <c r="I5" s="30"/>
      <c r="J5" s="32"/>
      <c r="K5" s="32"/>
      <c r="L5" s="18"/>
      <c r="M5" s="18"/>
      <c r="N5" s="18"/>
      <c r="O5" s="18"/>
    </row>
    <row r="6" ht="15.75" customHeight="1">
      <c r="A6" s="20"/>
      <c r="B6" s="22">
        <v>6.0</v>
      </c>
      <c r="C6" s="24" t="s">
        <v>52</v>
      </c>
      <c r="D6" s="1"/>
      <c r="E6" s="28">
        <v>75000.0</v>
      </c>
      <c r="F6" s="30">
        <v>85000.0</v>
      </c>
      <c r="G6" s="32" t="s">
        <v>54</v>
      </c>
      <c r="H6" s="32" t="s">
        <v>47</v>
      </c>
      <c r="I6" s="30"/>
      <c r="J6" s="32"/>
      <c r="K6" s="32"/>
      <c r="L6" s="18"/>
      <c r="M6" s="18"/>
      <c r="N6" s="18"/>
      <c r="O6" s="18"/>
    </row>
    <row r="7" ht="15.75" customHeight="1">
      <c r="A7" s="20"/>
      <c r="B7" s="22">
        <v>6.0</v>
      </c>
      <c r="C7" s="24" t="s">
        <v>55</v>
      </c>
      <c r="D7" s="1"/>
      <c r="E7" s="28">
        <v>65000.0</v>
      </c>
      <c r="F7" s="30">
        <v>69000.0</v>
      </c>
      <c r="G7" s="32" t="s">
        <v>43</v>
      </c>
      <c r="H7" s="32" t="s">
        <v>47</v>
      </c>
      <c r="I7" s="30"/>
      <c r="J7" s="32"/>
      <c r="K7" s="32"/>
      <c r="L7" s="18"/>
      <c r="M7" s="18"/>
      <c r="N7" s="18"/>
      <c r="O7" s="18"/>
    </row>
    <row r="8" ht="15.75" customHeight="1">
      <c r="A8" s="20"/>
      <c r="B8" s="22">
        <v>7.0</v>
      </c>
      <c r="C8" s="24" t="s">
        <v>57</v>
      </c>
      <c r="D8" s="1"/>
      <c r="E8" s="28">
        <v>165000.0</v>
      </c>
      <c r="F8" s="30">
        <v>185000.0</v>
      </c>
      <c r="G8" s="32" t="s">
        <v>58</v>
      </c>
      <c r="H8" s="32" t="s">
        <v>1</v>
      </c>
      <c r="I8" s="30"/>
      <c r="J8" s="32"/>
      <c r="K8" s="32"/>
      <c r="L8" s="18"/>
      <c r="M8" s="18"/>
      <c r="N8" s="18"/>
      <c r="O8" s="18"/>
    </row>
    <row r="9" ht="15.75" customHeight="1">
      <c r="A9" s="20"/>
      <c r="B9" s="22">
        <v>8.0</v>
      </c>
      <c r="C9" s="24" t="s">
        <v>60</v>
      </c>
      <c r="D9" s="1"/>
      <c r="E9" s="28">
        <v>92000.0</v>
      </c>
      <c r="F9" s="30">
        <v>95000.0</v>
      </c>
      <c r="G9" s="32" t="s">
        <v>43</v>
      </c>
      <c r="H9" s="32" t="s">
        <v>61</v>
      </c>
      <c r="I9" s="30"/>
      <c r="J9" s="32"/>
      <c r="K9" s="32"/>
      <c r="L9" s="18"/>
      <c r="M9" s="18"/>
      <c r="N9" s="18"/>
      <c r="O9" s="18"/>
    </row>
    <row r="10" ht="15.75" customHeight="1">
      <c r="A10" s="20"/>
      <c r="B10" s="22">
        <v>8.0</v>
      </c>
      <c r="C10" s="24" t="s">
        <v>62</v>
      </c>
      <c r="D10" s="1"/>
      <c r="E10" s="28">
        <v>58000.0</v>
      </c>
      <c r="F10" s="30">
        <v>68000.0</v>
      </c>
      <c r="G10" s="32" t="s">
        <v>64</v>
      </c>
      <c r="H10" s="32" t="s">
        <v>47</v>
      </c>
      <c r="I10" s="30"/>
      <c r="J10" s="32"/>
      <c r="K10" s="32"/>
      <c r="L10" s="18"/>
      <c r="M10" s="18"/>
      <c r="N10" s="18"/>
      <c r="O10" s="18"/>
    </row>
    <row r="11" ht="15.75" customHeight="1">
      <c r="A11" s="20"/>
      <c r="B11" s="22"/>
      <c r="C11" s="24"/>
      <c r="D11" s="1"/>
      <c r="E11" s="28"/>
      <c r="F11" s="32"/>
      <c r="G11" s="32"/>
      <c r="H11" s="30"/>
      <c r="I11" s="30"/>
      <c r="J11" s="32"/>
      <c r="K11" s="32"/>
      <c r="L11" s="18"/>
      <c r="M11" s="18"/>
      <c r="N11" s="18"/>
      <c r="O11" s="18"/>
    </row>
    <row r="12" ht="15.75" customHeight="1">
      <c r="A12" s="20"/>
      <c r="B12" s="22"/>
      <c r="C12" s="24"/>
      <c r="D12" s="1"/>
      <c r="E12" s="28"/>
      <c r="F12" s="30"/>
      <c r="G12" s="32"/>
      <c r="H12" s="32"/>
      <c r="I12" s="30"/>
      <c r="J12" s="32"/>
      <c r="K12" s="32"/>
      <c r="L12" s="18"/>
      <c r="M12" s="18"/>
      <c r="N12" s="18"/>
      <c r="O12" s="18"/>
    </row>
    <row r="13" ht="15.75" customHeight="1">
      <c r="A13" s="20"/>
      <c r="B13" s="22"/>
      <c r="C13" s="24"/>
      <c r="D13" s="1"/>
      <c r="E13" s="28"/>
      <c r="F13" s="30"/>
      <c r="G13" s="32"/>
      <c r="H13" s="32"/>
      <c r="I13" s="30"/>
      <c r="J13" s="32"/>
      <c r="K13" s="32"/>
      <c r="L13" s="18"/>
      <c r="M13" s="18"/>
      <c r="N13" s="18"/>
      <c r="O13" s="18"/>
    </row>
    <row r="14" ht="15.75" customHeight="1">
      <c r="A14" s="20"/>
      <c r="B14" s="22"/>
      <c r="C14" s="24"/>
      <c r="D14" s="1"/>
      <c r="E14" s="28"/>
      <c r="F14" s="30"/>
      <c r="G14" s="32"/>
      <c r="H14" s="32"/>
      <c r="I14" s="30"/>
      <c r="J14" s="32"/>
      <c r="K14" s="32"/>
      <c r="L14" s="18"/>
      <c r="M14" s="18"/>
      <c r="N14" s="18"/>
      <c r="O14" s="18"/>
    </row>
    <row r="15" ht="15.75" customHeight="1">
      <c r="A15" s="20"/>
      <c r="B15" s="22"/>
      <c r="C15" s="24"/>
      <c r="D15" s="1"/>
      <c r="E15" s="28"/>
      <c r="F15" s="30"/>
      <c r="G15" s="32"/>
      <c r="H15" s="32"/>
      <c r="I15" s="30"/>
      <c r="J15" s="32"/>
      <c r="K15" s="32"/>
      <c r="L15" s="18"/>
      <c r="M15" s="18"/>
      <c r="N15" s="18"/>
      <c r="O15" s="18"/>
    </row>
    <row r="16" ht="15.75" customHeight="1">
      <c r="A16" s="20"/>
      <c r="B16" s="22"/>
      <c r="C16" s="24"/>
      <c r="D16" s="1"/>
      <c r="E16" s="28"/>
      <c r="F16" s="32"/>
      <c r="G16" s="32"/>
      <c r="H16" s="30"/>
      <c r="I16" s="30"/>
      <c r="J16" s="32"/>
      <c r="K16" s="32"/>
      <c r="L16" s="18"/>
      <c r="M16" s="18"/>
      <c r="N16" s="18"/>
      <c r="O16" s="18"/>
    </row>
    <row r="17" ht="15.75" customHeight="1">
      <c r="A17" s="20"/>
      <c r="B17" s="22"/>
      <c r="C17" s="24"/>
      <c r="D17" s="1"/>
      <c r="E17" s="28"/>
      <c r="F17" s="30"/>
      <c r="G17" s="32"/>
      <c r="H17" s="32"/>
      <c r="I17" s="30"/>
      <c r="J17" s="32"/>
      <c r="K17" s="32"/>
      <c r="L17" s="18"/>
      <c r="M17" s="18"/>
      <c r="N17" s="18"/>
      <c r="O17" s="18"/>
    </row>
    <row r="18" ht="15.75" customHeight="1">
      <c r="A18" s="20"/>
      <c r="B18" s="50"/>
      <c r="C18" s="24"/>
      <c r="D18" s="1"/>
      <c r="E18" s="28"/>
      <c r="F18" s="30"/>
      <c r="G18" s="32"/>
      <c r="H18" s="32"/>
      <c r="I18" s="30"/>
      <c r="J18" s="32"/>
      <c r="K18" s="32"/>
      <c r="L18" s="18"/>
      <c r="M18" s="18"/>
      <c r="N18" s="18"/>
      <c r="O18" s="18"/>
    </row>
    <row r="19" ht="15.75" customHeight="1">
      <c r="A19" s="52"/>
      <c r="B19" s="53" t="s">
        <v>11</v>
      </c>
      <c r="C19" s="54" t="s">
        <v>74</v>
      </c>
      <c r="D19" s="55"/>
      <c r="E19" s="56"/>
      <c r="F19" s="58"/>
      <c r="G19" s="59"/>
      <c r="H19" s="59"/>
      <c r="I19" s="63">
        <f>Sum(I2:I18) </f>
        <v>0</v>
      </c>
      <c r="J19" s="59"/>
      <c r="K19" s="59"/>
      <c r="L19" s="18"/>
      <c r="M19" s="18"/>
      <c r="N19" s="18"/>
      <c r="O19" s="18"/>
    </row>
    <row r="20" ht="15.75" customHeight="1">
      <c r="A20" s="20"/>
      <c r="B20" s="22">
        <v>12.0</v>
      </c>
      <c r="C20" s="24" t="s">
        <v>85</v>
      </c>
      <c r="D20" s="1"/>
      <c r="E20" s="28">
        <v>320000.0</v>
      </c>
      <c r="F20" s="32">
        <v>35000.0</v>
      </c>
      <c r="G20" s="32" t="s">
        <v>43</v>
      </c>
      <c r="H20" s="32" t="s">
        <v>87</v>
      </c>
      <c r="I20" s="32"/>
      <c r="J20" s="67"/>
      <c r="K20" s="32"/>
      <c r="L20" s="18"/>
      <c r="M20" s="18"/>
      <c r="N20" s="18"/>
      <c r="O20" s="18"/>
    </row>
    <row r="21" ht="15.75" customHeight="1">
      <c r="A21" s="20"/>
      <c r="B21" s="22">
        <v>12.0</v>
      </c>
      <c r="C21" s="24" t="s">
        <v>89</v>
      </c>
      <c r="D21" s="1"/>
      <c r="E21" s="28">
        <v>6000.0</v>
      </c>
      <c r="F21" s="32">
        <v>10000.0</v>
      </c>
      <c r="G21" s="32" t="s">
        <v>43</v>
      </c>
      <c r="H21" s="32" t="s">
        <v>87</v>
      </c>
      <c r="I21" s="32"/>
      <c r="J21" s="67"/>
      <c r="K21" s="32"/>
      <c r="L21" s="18"/>
      <c r="M21" s="18"/>
      <c r="N21" s="18"/>
      <c r="O21" s="18"/>
    </row>
    <row r="22" ht="15.75" customHeight="1">
      <c r="A22" s="20"/>
      <c r="B22" s="22">
        <v>12.0</v>
      </c>
      <c r="C22" s="24" t="s">
        <v>46</v>
      </c>
      <c r="D22" s="1"/>
      <c r="E22" s="28">
        <v>168000.0</v>
      </c>
      <c r="F22" s="30">
        <v>178500.0</v>
      </c>
      <c r="G22" s="32" t="s">
        <v>43</v>
      </c>
      <c r="H22" s="32" t="s">
        <v>87</v>
      </c>
      <c r="I22" s="32"/>
      <c r="J22" s="69"/>
      <c r="K22" s="32"/>
      <c r="L22" s="18"/>
      <c r="M22" s="18"/>
      <c r="N22" s="18"/>
      <c r="O22" s="18"/>
    </row>
    <row r="23" ht="15.75" customHeight="1">
      <c r="A23" s="20"/>
      <c r="B23" s="22">
        <v>12.0</v>
      </c>
      <c r="C23" s="24" t="s">
        <v>46</v>
      </c>
      <c r="D23" s="1"/>
      <c r="E23" s="28">
        <v>168000.0</v>
      </c>
      <c r="F23" s="30">
        <v>178500.0</v>
      </c>
      <c r="G23" s="32" t="s">
        <v>43</v>
      </c>
      <c r="H23" s="32" t="s">
        <v>87</v>
      </c>
      <c r="I23" s="32"/>
      <c r="J23" s="69"/>
      <c r="K23" s="32"/>
      <c r="L23" s="18"/>
      <c r="M23" s="18"/>
      <c r="N23" s="18"/>
      <c r="O23" s="18"/>
    </row>
    <row r="24" ht="15.75" customHeight="1">
      <c r="A24" s="20"/>
      <c r="B24" s="22">
        <v>12.0</v>
      </c>
      <c r="C24" s="24" t="s">
        <v>46</v>
      </c>
      <c r="D24" s="1"/>
      <c r="E24" s="28">
        <v>168000.0</v>
      </c>
      <c r="F24" s="30">
        <v>178500.0</v>
      </c>
      <c r="G24" s="32" t="s">
        <v>43</v>
      </c>
      <c r="H24" s="32" t="s">
        <v>87</v>
      </c>
      <c r="I24" s="32"/>
      <c r="J24" s="69"/>
      <c r="K24" s="32"/>
      <c r="L24" s="18"/>
      <c r="M24" s="18"/>
      <c r="N24" s="18"/>
      <c r="O24" s="18"/>
    </row>
    <row r="25" ht="15.75" customHeight="1">
      <c r="A25" s="20"/>
      <c r="B25" s="22">
        <v>12.0</v>
      </c>
      <c r="C25" s="24" t="s">
        <v>46</v>
      </c>
      <c r="D25" s="1"/>
      <c r="E25" s="28">
        <v>168000.0</v>
      </c>
      <c r="F25" s="30">
        <v>178500.0</v>
      </c>
      <c r="G25" s="32" t="s">
        <v>43</v>
      </c>
      <c r="H25" s="32" t="s">
        <v>61</v>
      </c>
      <c r="I25" s="32"/>
      <c r="J25" s="69"/>
      <c r="K25" s="32"/>
      <c r="L25" s="18"/>
      <c r="M25" s="18"/>
      <c r="N25" s="18"/>
      <c r="O25" s="18"/>
    </row>
    <row r="26" ht="15.75" customHeight="1">
      <c r="A26" s="20"/>
      <c r="B26" s="22">
        <v>12.0</v>
      </c>
      <c r="C26" s="24" t="s">
        <v>99</v>
      </c>
      <c r="D26" s="1"/>
      <c r="E26" s="28">
        <v>40000.0</v>
      </c>
      <c r="F26" s="30">
        <v>45000.0</v>
      </c>
      <c r="G26" s="32" t="s">
        <v>64</v>
      </c>
      <c r="H26" s="32" t="s">
        <v>47</v>
      </c>
      <c r="I26" s="32"/>
      <c r="J26" s="72"/>
      <c r="K26" s="32"/>
      <c r="L26" s="18"/>
      <c r="M26" s="18"/>
      <c r="N26" s="18"/>
      <c r="O26" s="18"/>
    </row>
    <row r="27" ht="15.75" customHeight="1">
      <c r="A27" s="20"/>
      <c r="B27" s="22">
        <v>13.0</v>
      </c>
      <c r="C27" s="24" t="s">
        <v>102</v>
      </c>
      <c r="D27" s="1"/>
      <c r="E27" s="28">
        <v>120000.0</v>
      </c>
      <c r="F27" s="30">
        <v>151000.0</v>
      </c>
      <c r="G27" s="32" t="s">
        <v>103</v>
      </c>
      <c r="H27" s="32" t="s">
        <v>47</v>
      </c>
      <c r="I27" s="30"/>
      <c r="J27" s="32"/>
      <c r="K27" s="32"/>
      <c r="L27" s="18"/>
      <c r="M27" s="18"/>
      <c r="N27" s="18"/>
      <c r="O27" s="18"/>
    </row>
    <row r="28" ht="15.75" customHeight="1">
      <c r="A28" s="20"/>
      <c r="B28" s="22">
        <v>18.0</v>
      </c>
      <c r="C28" s="24" t="s">
        <v>105</v>
      </c>
      <c r="D28" s="1"/>
      <c r="E28" s="28">
        <v>130000.0</v>
      </c>
      <c r="F28" s="30">
        <v>158000.0</v>
      </c>
      <c r="G28" s="32" t="s">
        <v>43</v>
      </c>
      <c r="H28" s="32" t="s">
        <v>47</v>
      </c>
      <c r="I28" s="30"/>
      <c r="J28" s="32"/>
      <c r="K28" s="32"/>
      <c r="L28" s="18"/>
      <c r="M28" s="18"/>
      <c r="N28" s="18"/>
      <c r="O28" s="18"/>
    </row>
    <row r="29" ht="15.75" customHeight="1">
      <c r="A29" s="20"/>
      <c r="B29" s="22"/>
      <c r="C29" s="24"/>
      <c r="D29" s="27"/>
      <c r="E29" s="28"/>
      <c r="F29" s="30"/>
      <c r="G29" s="32"/>
      <c r="H29" s="32"/>
      <c r="I29" s="30"/>
      <c r="J29" s="32"/>
      <c r="K29" s="32"/>
      <c r="L29" s="18"/>
      <c r="M29" s="18"/>
      <c r="N29" s="18"/>
      <c r="O29" s="18"/>
    </row>
    <row r="30" ht="15.75" customHeight="1">
      <c r="A30" s="20"/>
      <c r="B30" s="22"/>
      <c r="C30" s="24"/>
      <c r="D30" s="27"/>
      <c r="E30" s="28"/>
      <c r="F30" s="30"/>
      <c r="G30" s="32"/>
      <c r="H30" s="32"/>
      <c r="I30" s="30"/>
      <c r="J30" s="32"/>
      <c r="K30" s="32"/>
      <c r="L30" s="18"/>
      <c r="M30" s="18"/>
      <c r="N30" s="18"/>
      <c r="O30" s="18"/>
    </row>
    <row r="31" ht="15.75" customHeight="1">
      <c r="A31" s="20"/>
      <c r="B31" s="22"/>
      <c r="C31" s="24"/>
      <c r="D31" s="27"/>
      <c r="E31" s="28"/>
      <c r="F31" s="30"/>
      <c r="G31" s="32"/>
      <c r="H31" s="32"/>
      <c r="I31" s="30"/>
      <c r="J31" s="32"/>
      <c r="K31" s="32"/>
      <c r="L31" s="18"/>
      <c r="M31" s="18"/>
      <c r="N31" s="18"/>
      <c r="O31" s="18"/>
    </row>
    <row r="32" ht="15.75" customHeight="1">
      <c r="A32" s="20"/>
      <c r="B32" s="22"/>
      <c r="C32" s="24"/>
      <c r="D32" s="27"/>
      <c r="E32" s="28"/>
      <c r="F32" s="30"/>
      <c r="G32" s="32"/>
      <c r="H32" s="32"/>
      <c r="I32" s="30"/>
      <c r="J32" s="32"/>
      <c r="K32" s="32"/>
      <c r="L32" s="18"/>
      <c r="M32" s="18"/>
      <c r="N32" s="18"/>
      <c r="O32" s="18"/>
    </row>
    <row r="33" ht="15.75" customHeight="1">
      <c r="A33" s="20"/>
      <c r="B33" s="22"/>
      <c r="C33" s="24"/>
      <c r="D33" s="27"/>
      <c r="E33" s="28"/>
      <c r="F33" s="30"/>
      <c r="G33" s="32"/>
      <c r="H33" s="32"/>
      <c r="I33" s="30"/>
      <c r="J33" s="32"/>
      <c r="K33" s="32"/>
      <c r="L33" s="18"/>
      <c r="M33" s="18"/>
      <c r="N33" s="18"/>
      <c r="O33" s="18"/>
    </row>
    <row r="34" ht="15.75" customHeight="1">
      <c r="A34" s="20"/>
      <c r="B34" s="22"/>
      <c r="C34" s="24"/>
      <c r="D34" s="1"/>
      <c r="E34" s="28"/>
      <c r="F34" s="32"/>
      <c r="G34" s="32"/>
      <c r="H34" s="32"/>
      <c r="I34" s="32"/>
      <c r="J34" s="32"/>
      <c r="K34" s="32"/>
      <c r="L34" s="18"/>
      <c r="M34" s="18"/>
      <c r="N34" s="18"/>
      <c r="O34" s="18"/>
    </row>
    <row r="35" ht="15.75" customHeight="1">
      <c r="A35" s="20"/>
      <c r="B35" s="22"/>
      <c r="C35" s="24"/>
      <c r="D35" s="1"/>
      <c r="E35" s="28"/>
      <c r="F35" s="30"/>
      <c r="G35" s="32"/>
      <c r="H35" s="32"/>
      <c r="I35" s="32"/>
      <c r="J35" s="32"/>
      <c r="K35" s="32"/>
      <c r="L35" s="18"/>
      <c r="M35" s="18"/>
      <c r="N35" s="18"/>
      <c r="O35" s="18"/>
    </row>
    <row r="36" ht="15.75" customHeight="1">
      <c r="A36" s="79">
        <v>46088.0</v>
      </c>
      <c r="B36" s="53" t="s">
        <v>11</v>
      </c>
      <c r="C36" s="54" t="s">
        <v>74</v>
      </c>
      <c r="D36" s="54"/>
      <c r="E36" s="56"/>
      <c r="F36" s="58"/>
      <c r="G36" s="59"/>
      <c r="H36" s="59" t="s">
        <v>111</v>
      </c>
      <c r="I36" s="80">
        <f>Sum(I20:I35) </f>
        <v>0</v>
      </c>
      <c r="J36" s="59"/>
      <c r="K36" s="59"/>
      <c r="L36" s="18"/>
      <c r="M36" s="18"/>
      <c r="N36" s="18"/>
      <c r="O36" s="18"/>
    </row>
    <row r="37" ht="15.75" customHeight="1">
      <c r="A37" s="20"/>
      <c r="B37" s="22">
        <v>21.0</v>
      </c>
      <c r="C37" s="24" t="s">
        <v>115</v>
      </c>
      <c r="D37" s="10"/>
      <c r="E37" s="28">
        <v>139000.0</v>
      </c>
      <c r="F37" s="30">
        <v>145000.0</v>
      </c>
      <c r="G37" s="32" t="s">
        <v>61</v>
      </c>
      <c r="H37" s="32" t="s">
        <v>116</v>
      </c>
      <c r="I37" s="30"/>
      <c r="J37" s="32"/>
      <c r="K37" s="32"/>
      <c r="L37" s="18"/>
      <c r="M37" s="18"/>
      <c r="N37" s="18"/>
      <c r="O37" s="18"/>
    </row>
    <row r="38" ht="15.75" customHeight="1">
      <c r="A38" s="20"/>
      <c r="B38" s="22">
        <v>22.0</v>
      </c>
      <c r="C38" s="24" t="s">
        <v>118</v>
      </c>
      <c r="D38" s="10"/>
      <c r="E38" s="28">
        <v>5000.0</v>
      </c>
      <c r="F38" s="30">
        <v>5000.0</v>
      </c>
      <c r="G38" s="32" t="s">
        <v>64</v>
      </c>
      <c r="H38" s="32" t="s">
        <v>47</v>
      </c>
      <c r="I38" s="30"/>
      <c r="J38" s="32"/>
      <c r="K38" s="32"/>
      <c r="L38" s="18"/>
      <c r="M38" s="18"/>
      <c r="N38" s="18"/>
      <c r="O38" s="18"/>
    </row>
    <row r="39" ht="15.75" customHeight="1">
      <c r="A39" s="20"/>
      <c r="B39" s="22">
        <v>24.0</v>
      </c>
      <c r="C39" s="24" t="s">
        <v>120</v>
      </c>
      <c r="D39" s="10"/>
      <c r="E39" s="28">
        <v>33000.0</v>
      </c>
      <c r="F39" s="30">
        <v>43000.0</v>
      </c>
      <c r="G39" s="32" t="s">
        <v>122</v>
      </c>
      <c r="H39" s="32" t="s">
        <v>1</v>
      </c>
      <c r="I39" s="30"/>
      <c r="J39" s="32"/>
      <c r="K39" s="32"/>
      <c r="L39" s="18"/>
      <c r="M39" s="18"/>
      <c r="N39" s="18"/>
      <c r="O39" s="18"/>
    </row>
    <row r="40" ht="15.75" customHeight="1">
      <c r="A40" s="82"/>
      <c r="B40" s="22">
        <v>25.0</v>
      </c>
      <c r="C40" s="24" t="s">
        <v>124</v>
      </c>
      <c r="D40" s="10"/>
      <c r="E40" s="28">
        <v>285000.0</v>
      </c>
      <c r="F40" s="30">
        <v>300000.0</v>
      </c>
      <c r="G40" s="32" t="s">
        <v>43</v>
      </c>
      <c r="H40" s="32" t="s">
        <v>61</v>
      </c>
      <c r="I40" s="30"/>
      <c r="J40" s="32"/>
      <c r="K40" s="32"/>
      <c r="L40" s="18"/>
      <c r="M40" s="18"/>
      <c r="N40" s="18"/>
      <c r="O40" s="18"/>
    </row>
    <row r="41" ht="15.75" customHeight="1">
      <c r="A41" s="20"/>
      <c r="B41" s="22">
        <v>25.0</v>
      </c>
      <c r="C41" s="24" t="s">
        <v>126</v>
      </c>
      <c r="D41" s="10"/>
      <c r="E41" s="28">
        <v>22500.0</v>
      </c>
      <c r="F41" s="30">
        <v>24500.0</v>
      </c>
      <c r="G41" s="32" t="s">
        <v>43</v>
      </c>
      <c r="H41" s="32" t="s">
        <v>127</v>
      </c>
      <c r="I41" s="30"/>
      <c r="J41" s="32"/>
      <c r="K41" s="32"/>
      <c r="L41" s="18"/>
      <c r="M41" s="18"/>
      <c r="N41" s="18"/>
      <c r="O41" s="18"/>
    </row>
    <row r="42" ht="15.75" customHeight="1">
      <c r="A42" s="20"/>
      <c r="B42" s="22">
        <v>27.0</v>
      </c>
      <c r="C42" s="24" t="s">
        <v>124</v>
      </c>
      <c r="D42" s="10"/>
      <c r="E42" s="28">
        <v>205000.0</v>
      </c>
      <c r="F42" s="30">
        <v>240000.0</v>
      </c>
      <c r="G42" s="32" t="s">
        <v>43</v>
      </c>
      <c r="H42" s="32" t="s">
        <v>47</v>
      </c>
      <c r="I42" s="30"/>
      <c r="J42" s="32"/>
      <c r="K42" s="32"/>
      <c r="L42" s="18"/>
      <c r="M42" s="18"/>
      <c r="N42" s="18"/>
      <c r="O42" s="18"/>
    </row>
    <row r="43" ht="15.75" customHeight="1">
      <c r="A43" s="20"/>
      <c r="B43" s="22">
        <v>31.0</v>
      </c>
      <c r="C43" s="24" t="s">
        <v>115</v>
      </c>
      <c r="D43" s="10"/>
      <c r="E43" s="28">
        <v>139000.0</v>
      </c>
      <c r="F43" s="30">
        <v>145000.0</v>
      </c>
      <c r="G43" s="32" t="s">
        <v>61</v>
      </c>
      <c r="H43" s="32" t="s">
        <v>116</v>
      </c>
      <c r="I43" s="30"/>
      <c r="J43" s="32"/>
      <c r="K43" s="32"/>
      <c r="L43" s="18"/>
      <c r="M43" s="18"/>
      <c r="N43" s="18"/>
      <c r="O43" s="18"/>
    </row>
    <row r="44" ht="15.75" customHeight="1">
      <c r="A44" s="20"/>
      <c r="B44" s="22"/>
      <c r="C44" s="24"/>
      <c r="D44" s="10"/>
      <c r="E44" s="28"/>
      <c r="F44" s="30"/>
      <c r="G44" s="32"/>
      <c r="H44" s="32"/>
      <c r="I44" s="30"/>
      <c r="J44" s="32"/>
      <c r="K44" s="32"/>
      <c r="L44" s="18"/>
      <c r="M44" s="18"/>
      <c r="N44" s="18"/>
      <c r="O44" s="18"/>
    </row>
    <row r="45" ht="15.75" customHeight="1">
      <c r="A45" s="20"/>
      <c r="B45" s="22"/>
      <c r="C45" s="24"/>
      <c r="D45" s="10"/>
      <c r="E45" s="28"/>
      <c r="F45" s="30"/>
      <c r="G45" s="32"/>
      <c r="H45" s="32"/>
      <c r="I45" s="30"/>
      <c r="J45" s="32"/>
      <c r="K45" s="32"/>
      <c r="L45" s="18"/>
      <c r="M45" s="18"/>
      <c r="N45" s="18"/>
      <c r="O45" s="18"/>
    </row>
    <row r="46" ht="15.75" customHeight="1">
      <c r="A46" s="20"/>
      <c r="B46" s="22"/>
      <c r="C46" s="24"/>
      <c r="D46" s="10"/>
      <c r="E46" s="28"/>
      <c r="F46" s="30"/>
      <c r="G46" s="32"/>
      <c r="H46" s="32"/>
      <c r="I46" s="30"/>
      <c r="J46" s="32"/>
      <c r="K46" s="32"/>
      <c r="L46" s="18"/>
      <c r="M46" s="18"/>
      <c r="N46" s="18"/>
      <c r="O46" s="18"/>
    </row>
    <row r="47" ht="15.75" customHeight="1">
      <c r="A47" s="20"/>
      <c r="B47" s="22"/>
      <c r="C47" s="24"/>
      <c r="D47" s="10"/>
      <c r="E47" s="28"/>
      <c r="F47" s="30"/>
      <c r="G47" s="32"/>
      <c r="H47" s="32"/>
      <c r="I47" s="30"/>
      <c r="J47" s="32"/>
      <c r="K47" s="32"/>
      <c r="L47" s="18"/>
      <c r="M47" s="18"/>
      <c r="N47" s="18"/>
      <c r="O47" s="18"/>
    </row>
    <row r="48" ht="15.75" customHeight="1">
      <c r="A48" s="20"/>
      <c r="B48" s="22"/>
      <c r="C48" s="24"/>
      <c r="D48" s="10"/>
      <c r="E48" s="28"/>
      <c r="F48" s="30"/>
      <c r="G48" s="32"/>
      <c r="H48" s="32"/>
      <c r="I48" s="30"/>
      <c r="J48" s="32"/>
      <c r="K48" s="32"/>
      <c r="L48" s="18"/>
      <c r="M48" s="18"/>
      <c r="N48" s="18"/>
      <c r="O48" s="18"/>
    </row>
    <row r="49" ht="15.75" customHeight="1">
      <c r="A49" s="20"/>
      <c r="B49" s="50"/>
      <c r="C49" s="24"/>
      <c r="D49" s="10"/>
      <c r="E49" s="28"/>
      <c r="F49" s="30"/>
      <c r="G49" s="32"/>
      <c r="H49" s="32"/>
      <c r="I49" s="30"/>
      <c r="J49" s="32"/>
      <c r="K49" s="32"/>
      <c r="L49" s="18"/>
      <c r="M49" s="18"/>
      <c r="N49" s="18"/>
      <c r="O49" s="18"/>
    </row>
    <row r="50" ht="15.75" customHeight="1">
      <c r="A50" s="20"/>
      <c r="B50" s="50"/>
      <c r="C50" s="24"/>
      <c r="D50" s="10"/>
      <c r="E50" s="28"/>
      <c r="F50" s="30"/>
      <c r="G50" s="32"/>
      <c r="H50" s="32"/>
      <c r="I50" s="30"/>
      <c r="J50" s="32"/>
      <c r="K50" s="32"/>
      <c r="L50" s="18"/>
      <c r="M50" s="18"/>
      <c r="N50" s="18"/>
      <c r="O50" s="18"/>
    </row>
    <row r="51" ht="15.75" customHeight="1">
      <c r="A51" s="20"/>
      <c r="B51" s="50"/>
      <c r="C51" s="24"/>
      <c r="D51" s="10"/>
      <c r="E51" s="28"/>
      <c r="F51" s="30"/>
      <c r="G51" s="32"/>
      <c r="H51" s="32"/>
      <c r="I51" s="30"/>
      <c r="J51" s="32"/>
      <c r="K51" s="32"/>
      <c r="L51" s="18"/>
      <c r="M51" s="18"/>
      <c r="N51" s="18"/>
      <c r="O51" s="18"/>
    </row>
    <row r="52" ht="15.75" customHeight="1">
      <c r="A52" s="20"/>
      <c r="B52" s="50"/>
      <c r="C52" s="24"/>
      <c r="D52" s="10"/>
      <c r="E52" s="28"/>
      <c r="F52" s="32"/>
      <c r="G52" s="32"/>
      <c r="H52" s="32"/>
      <c r="I52" s="30"/>
      <c r="J52" s="32"/>
      <c r="K52" s="32"/>
      <c r="L52" s="18"/>
      <c r="M52" s="18"/>
      <c r="N52" s="18"/>
      <c r="O52" s="18"/>
    </row>
    <row r="53" ht="15.75" customHeight="1">
      <c r="A53" s="20"/>
      <c r="B53" s="50"/>
      <c r="C53" s="24"/>
      <c r="D53" s="10"/>
      <c r="E53" s="28"/>
      <c r="F53" s="30"/>
      <c r="G53" s="32"/>
      <c r="H53" s="32"/>
      <c r="I53" s="30"/>
      <c r="J53" s="32"/>
      <c r="K53" s="32"/>
      <c r="L53" s="18"/>
      <c r="M53" s="18"/>
      <c r="N53" s="18"/>
      <c r="O53" s="18"/>
    </row>
    <row r="54" ht="15.75" customHeight="1">
      <c r="A54" s="20"/>
      <c r="B54" s="50"/>
      <c r="C54" s="24"/>
      <c r="D54" s="10"/>
      <c r="E54" s="24"/>
      <c r="F54" s="32"/>
      <c r="G54" s="32"/>
      <c r="H54" s="32"/>
      <c r="I54" s="32"/>
      <c r="J54" s="32"/>
      <c r="K54" s="32"/>
      <c r="L54" s="18"/>
      <c r="M54" s="18"/>
      <c r="N54" s="18"/>
      <c r="O54" s="18"/>
    </row>
    <row r="55" ht="15.75" customHeight="1">
      <c r="A55" s="20"/>
      <c r="B55" s="50"/>
      <c r="C55" s="24"/>
      <c r="D55" s="10"/>
      <c r="E55" s="24"/>
      <c r="F55" s="32"/>
      <c r="G55" s="32"/>
      <c r="H55" s="32"/>
      <c r="I55" s="32"/>
      <c r="J55" s="32"/>
      <c r="K55" s="32"/>
      <c r="L55" s="18"/>
      <c r="M55" s="18"/>
      <c r="N55" s="18"/>
      <c r="O55" s="18"/>
    </row>
    <row r="56" ht="15.75" customHeight="1">
      <c r="A56" s="20"/>
      <c r="B56" s="50"/>
      <c r="C56" s="24"/>
      <c r="D56" s="10"/>
      <c r="E56" s="24"/>
      <c r="F56" s="32"/>
      <c r="G56" s="32"/>
      <c r="H56" s="32"/>
      <c r="I56" s="32"/>
      <c r="J56" s="32"/>
      <c r="K56" s="32"/>
      <c r="L56" s="18"/>
      <c r="M56" s="18"/>
      <c r="N56" s="18"/>
      <c r="O56" s="18"/>
    </row>
    <row r="57" ht="15.75" customHeight="1">
      <c r="A57" s="52"/>
      <c r="B57" s="53" t="s">
        <v>11</v>
      </c>
      <c r="C57" s="54" t="s">
        <v>74</v>
      </c>
      <c r="D57" s="84"/>
      <c r="E57" s="56"/>
      <c r="F57" s="58"/>
      <c r="G57" s="59"/>
      <c r="H57" s="59" t="s">
        <v>111</v>
      </c>
      <c r="I57" s="85">
        <f>sum(I38:I52)</f>
        <v>0</v>
      </c>
      <c r="J57" s="59"/>
      <c r="K57" s="59"/>
      <c r="L57" s="18"/>
      <c r="M57" s="18"/>
      <c r="N57" s="18"/>
      <c r="O57" s="18"/>
    </row>
    <row r="58" ht="15.75" customHeight="1">
      <c r="A58" s="20"/>
      <c r="B58" s="50"/>
      <c r="C58" s="24"/>
      <c r="D58" s="86"/>
      <c r="E58" s="28"/>
      <c r="F58" s="30"/>
      <c r="G58" s="32"/>
      <c r="H58" s="32"/>
      <c r="I58" s="30"/>
      <c r="J58" s="32"/>
      <c r="K58" s="32"/>
      <c r="L58" s="18"/>
      <c r="M58" s="18"/>
      <c r="N58" s="18"/>
      <c r="O58" s="18"/>
    </row>
    <row r="59" ht="15.75" customHeight="1">
      <c r="A59" s="20"/>
      <c r="B59" s="50"/>
      <c r="C59" s="24"/>
      <c r="D59" s="27"/>
      <c r="E59" s="28"/>
      <c r="F59" s="30"/>
      <c r="G59" s="32"/>
      <c r="H59" s="32"/>
      <c r="I59" s="30"/>
      <c r="J59" s="32"/>
      <c r="K59" s="32"/>
      <c r="L59" s="18"/>
      <c r="M59" s="18"/>
      <c r="N59" s="18"/>
      <c r="O59" s="18"/>
    </row>
    <row r="60" ht="15.75" customHeight="1">
      <c r="A60" s="20"/>
      <c r="B60" s="50"/>
      <c r="C60" s="24"/>
      <c r="D60" s="88"/>
      <c r="E60" s="28"/>
      <c r="F60" s="30"/>
      <c r="G60" s="32"/>
      <c r="H60" s="32"/>
      <c r="I60" s="30"/>
      <c r="J60" s="32"/>
      <c r="K60" s="32"/>
      <c r="L60" s="18"/>
      <c r="M60" s="18"/>
      <c r="N60" s="18"/>
      <c r="O60" s="18"/>
    </row>
    <row r="61" ht="15.75" customHeight="1">
      <c r="A61" s="20"/>
      <c r="B61" s="50"/>
      <c r="C61" s="24"/>
      <c r="D61" s="88"/>
      <c r="E61" s="28"/>
      <c r="F61" s="30"/>
      <c r="G61" s="32"/>
      <c r="H61" s="32"/>
      <c r="I61" s="32"/>
      <c r="J61" s="32"/>
      <c r="K61" s="32"/>
      <c r="L61" s="18"/>
      <c r="M61" s="18"/>
      <c r="N61" s="18"/>
      <c r="O61" s="18"/>
    </row>
    <row r="62" ht="15.75" customHeight="1">
      <c r="A62" s="20"/>
      <c r="B62" s="50"/>
      <c r="C62" s="24"/>
      <c r="D62" s="1"/>
      <c r="E62" s="28"/>
      <c r="F62" s="30"/>
      <c r="G62" s="32"/>
      <c r="H62" s="32"/>
      <c r="I62" s="30"/>
      <c r="J62" s="32"/>
      <c r="K62" s="32"/>
      <c r="L62" s="18"/>
      <c r="M62" s="18"/>
      <c r="N62" s="18"/>
      <c r="O62" s="18"/>
    </row>
    <row r="63" ht="15.75" customHeight="1">
      <c r="A63" s="20"/>
      <c r="B63" s="50"/>
      <c r="C63" s="24"/>
      <c r="D63" s="27"/>
      <c r="E63" s="28"/>
      <c r="F63" s="30"/>
      <c r="G63" s="32"/>
      <c r="H63" s="32"/>
      <c r="I63" s="30"/>
      <c r="J63" s="32"/>
      <c r="K63" s="32"/>
      <c r="L63" s="18"/>
      <c r="M63" s="18"/>
      <c r="N63" s="18"/>
      <c r="O63" s="18"/>
    </row>
    <row r="64" ht="15.75" customHeight="1">
      <c r="A64" s="20"/>
      <c r="B64" s="50"/>
      <c r="C64" s="24"/>
      <c r="D64" s="27"/>
      <c r="E64" s="28"/>
      <c r="F64" s="32"/>
      <c r="G64" s="32"/>
      <c r="H64" s="32"/>
      <c r="I64" s="32"/>
      <c r="J64" s="32"/>
      <c r="K64" s="32"/>
      <c r="L64" s="18"/>
      <c r="M64" s="18"/>
      <c r="N64" s="18"/>
      <c r="O64" s="18"/>
    </row>
    <row r="65" ht="15.75" customHeight="1">
      <c r="A65" s="20"/>
      <c r="B65" s="50"/>
      <c r="C65" s="24"/>
      <c r="D65" s="27"/>
      <c r="E65" s="28"/>
      <c r="F65" s="32"/>
      <c r="G65" s="32"/>
      <c r="H65" s="32"/>
      <c r="I65" s="30"/>
      <c r="J65" s="32"/>
      <c r="K65" s="32"/>
      <c r="L65" s="18"/>
      <c r="M65" s="18"/>
      <c r="N65" s="18"/>
      <c r="O65" s="18"/>
    </row>
    <row r="66" ht="15.75" customHeight="1">
      <c r="A66" s="20"/>
      <c r="B66" s="50"/>
      <c r="C66" s="24"/>
      <c r="D66" s="27"/>
      <c r="E66" s="28"/>
      <c r="F66" s="30"/>
      <c r="G66" s="32"/>
      <c r="H66" s="32"/>
      <c r="I66" s="30"/>
      <c r="J66" s="32"/>
      <c r="K66" s="32"/>
      <c r="L66" s="18"/>
      <c r="M66" s="18"/>
      <c r="N66" s="18"/>
      <c r="O66" s="18"/>
    </row>
    <row r="67" ht="15.75" customHeight="1">
      <c r="A67" s="20"/>
      <c r="B67" s="50"/>
      <c r="C67" s="24"/>
      <c r="D67" s="27"/>
      <c r="E67" s="28"/>
      <c r="F67" s="30"/>
      <c r="G67" s="32"/>
      <c r="H67" s="32"/>
      <c r="I67" s="32"/>
      <c r="J67" s="32"/>
      <c r="K67" s="32"/>
      <c r="L67" s="18"/>
      <c r="M67" s="18"/>
      <c r="N67" s="18"/>
      <c r="O67" s="18"/>
    </row>
    <row r="68" ht="15.75" customHeight="1">
      <c r="A68" s="20"/>
      <c r="B68" s="50"/>
      <c r="C68" s="24"/>
      <c r="D68" s="27"/>
      <c r="E68" s="24"/>
      <c r="F68" s="32"/>
      <c r="G68" s="32"/>
      <c r="H68" s="32"/>
      <c r="I68" s="32"/>
      <c r="J68" s="32"/>
      <c r="K68" s="32"/>
      <c r="L68" s="18"/>
      <c r="M68" s="18"/>
      <c r="N68" s="18"/>
      <c r="O68" s="18"/>
    </row>
    <row r="69" ht="15.75" customHeight="1">
      <c r="A69" s="20"/>
      <c r="B69" s="50"/>
      <c r="C69" s="24"/>
      <c r="D69" s="27"/>
      <c r="E69" s="28"/>
      <c r="F69" s="30"/>
      <c r="G69" s="32"/>
      <c r="H69" s="32"/>
      <c r="I69" s="32"/>
      <c r="J69" s="32"/>
      <c r="K69" s="32"/>
      <c r="L69" s="18"/>
      <c r="M69" s="18"/>
      <c r="N69" s="18"/>
      <c r="O69" s="18"/>
    </row>
    <row r="70" ht="15.75" customHeight="1">
      <c r="A70" s="20"/>
      <c r="B70" s="50"/>
      <c r="C70" s="24"/>
      <c r="D70" s="27"/>
      <c r="E70" s="28"/>
      <c r="F70" s="30"/>
      <c r="G70" s="32"/>
      <c r="H70" s="32"/>
      <c r="I70" s="32"/>
      <c r="J70" s="32"/>
      <c r="K70" s="32"/>
      <c r="L70" s="18"/>
      <c r="M70" s="18"/>
      <c r="N70" s="18"/>
      <c r="O70" s="18"/>
    </row>
    <row r="71" ht="15.75" customHeight="1">
      <c r="A71" s="20"/>
      <c r="B71" s="50"/>
      <c r="C71" s="24"/>
      <c r="D71" s="27"/>
      <c r="E71" s="28"/>
      <c r="F71" s="30"/>
      <c r="G71" s="32"/>
      <c r="H71" s="32"/>
      <c r="I71" s="32"/>
      <c r="J71" s="32"/>
      <c r="K71" s="32"/>
      <c r="L71" s="18"/>
      <c r="M71" s="18"/>
      <c r="N71" s="18"/>
      <c r="O71" s="18"/>
    </row>
    <row r="72" ht="15.75" customHeight="1">
      <c r="A72" s="20"/>
      <c r="B72" s="50"/>
      <c r="C72" s="24"/>
      <c r="D72" s="27"/>
      <c r="E72" s="24"/>
      <c r="F72" s="32"/>
      <c r="G72" s="32"/>
      <c r="H72" s="32"/>
      <c r="I72" s="32"/>
      <c r="J72" s="32"/>
      <c r="K72" s="32"/>
      <c r="L72" s="18"/>
      <c r="M72" s="18"/>
      <c r="N72" s="18"/>
      <c r="O72" s="18"/>
    </row>
    <row r="73" ht="15.75" customHeight="1">
      <c r="A73" s="20"/>
      <c r="B73" s="50"/>
      <c r="C73" s="24"/>
      <c r="D73" s="27"/>
      <c r="E73" s="28"/>
      <c r="F73" s="32"/>
      <c r="G73" s="32"/>
      <c r="H73" s="32"/>
      <c r="I73" s="32"/>
      <c r="J73" s="32"/>
      <c r="K73" s="32"/>
      <c r="L73" s="18"/>
      <c r="M73" s="18"/>
      <c r="N73" s="18"/>
      <c r="O73" s="18"/>
    </row>
    <row r="74" ht="15.75" customHeight="1">
      <c r="A74" s="20"/>
      <c r="B74" s="50"/>
      <c r="C74" s="24"/>
      <c r="D74" s="27"/>
      <c r="E74" s="28"/>
      <c r="F74" s="30"/>
      <c r="G74" s="32"/>
      <c r="H74" s="32"/>
      <c r="I74" s="32"/>
      <c r="J74" s="32"/>
      <c r="K74" s="32"/>
      <c r="L74" s="18"/>
      <c r="M74" s="18"/>
      <c r="N74" s="18"/>
      <c r="O74" s="18"/>
    </row>
    <row r="75" ht="15.75" customHeight="1">
      <c r="A75" s="52"/>
      <c r="B75" s="53" t="s">
        <v>11</v>
      </c>
      <c r="C75" s="54" t="s">
        <v>74</v>
      </c>
      <c r="D75" s="54"/>
      <c r="E75" s="56"/>
      <c r="F75" s="58"/>
      <c r="G75" s="59"/>
      <c r="H75" s="59" t="s">
        <v>111</v>
      </c>
      <c r="I75" s="93">
        <f>sum(I58:I74)</f>
        <v>0</v>
      </c>
      <c r="J75" s="59"/>
      <c r="K75" s="59"/>
      <c r="L75" s="18"/>
      <c r="M75" s="18"/>
      <c r="N75" s="18"/>
      <c r="O75" s="18"/>
    </row>
    <row r="76" ht="15.75" customHeight="1">
      <c r="A76" s="20"/>
      <c r="B76" s="50"/>
      <c r="C76" s="95"/>
      <c r="D76" s="1"/>
      <c r="E76" s="95"/>
      <c r="F76" s="97"/>
      <c r="G76" s="32"/>
      <c r="H76" s="97"/>
      <c r="I76" s="32"/>
      <c r="J76" s="97"/>
      <c r="K76" s="97"/>
      <c r="L76" s="18"/>
      <c r="M76" s="18"/>
      <c r="N76" s="18"/>
      <c r="O76" s="18"/>
    </row>
    <row r="77" ht="15.75" customHeight="1">
      <c r="A77" s="20"/>
      <c r="B77" s="50"/>
      <c r="C77" s="95"/>
      <c r="D77" s="1"/>
      <c r="E77" s="95"/>
      <c r="F77" s="97"/>
      <c r="G77" s="32"/>
      <c r="H77" s="97"/>
      <c r="I77" s="32"/>
      <c r="J77" s="97"/>
      <c r="K77" s="97"/>
      <c r="L77" s="18"/>
      <c r="M77" s="18"/>
      <c r="N77" s="18"/>
      <c r="O77" s="18"/>
    </row>
    <row r="78" ht="15.75" customHeight="1">
      <c r="A78" s="20"/>
      <c r="B78" s="50"/>
      <c r="C78" s="95"/>
      <c r="D78" s="1"/>
      <c r="E78" s="95"/>
      <c r="F78" s="97"/>
      <c r="G78" s="32"/>
      <c r="H78" s="97"/>
      <c r="I78" s="32"/>
      <c r="J78" s="97"/>
      <c r="K78" s="97"/>
      <c r="L78" s="18"/>
      <c r="M78" s="18"/>
      <c r="N78" s="18"/>
      <c r="O78" s="18"/>
    </row>
    <row r="79" ht="15.75" customHeight="1">
      <c r="A79" s="20"/>
      <c r="B79" s="50"/>
      <c r="C79" s="95"/>
      <c r="D79" s="1"/>
      <c r="E79" s="98"/>
      <c r="F79" s="97"/>
      <c r="G79" s="32"/>
      <c r="H79" s="97"/>
      <c r="I79" s="32"/>
      <c r="J79" s="97"/>
      <c r="K79" s="97"/>
      <c r="L79" s="18"/>
      <c r="M79" s="18"/>
      <c r="N79" s="18"/>
      <c r="O79" s="18"/>
    </row>
    <row r="80" ht="15.75" customHeight="1">
      <c r="A80" s="20"/>
      <c r="B80" s="22"/>
      <c r="C80" s="95"/>
      <c r="D80" s="1"/>
      <c r="E80" s="95"/>
      <c r="F80" s="97"/>
      <c r="G80" s="32"/>
      <c r="H80" s="97"/>
      <c r="I80" s="32"/>
      <c r="J80" s="97"/>
      <c r="K80" s="97"/>
      <c r="L80" s="18"/>
      <c r="M80" s="18"/>
      <c r="N80" s="18"/>
      <c r="O80" s="18"/>
    </row>
    <row r="81" ht="15.75" customHeight="1">
      <c r="A81" s="20"/>
      <c r="B81" s="22"/>
      <c r="C81" s="95"/>
      <c r="D81" s="1"/>
      <c r="E81" s="95"/>
      <c r="F81" s="97"/>
      <c r="G81" s="32"/>
      <c r="H81" s="97"/>
      <c r="I81" s="32"/>
      <c r="J81" s="97"/>
      <c r="K81" s="97"/>
      <c r="L81" s="18"/>
      <c r="M81" s="18"/>
      <c r="N81" s="18"/>
      <c r="O81" s="18"/>
    </row>
    <row r="82" ht="15.75" customHeight="1">
      <c r="A82" s="20"/>
      <c r="B82" s="22"/>
      <c r="C82" s="95"/>
      <c r="D82" s="1"/>
      <c r="E82" s="95"/>
      <c r="F82" s="97"/>
      <c r="G82" s="32"/>
      <c r="H82" s="97"/>
      <c r="I82" s="32"/>
      <c r="J82" s="97"/>
      <c r="K82" s="97"/>
      <c r="L82" s="18"/>
      <c r="M82" s="18"/>
      <c r="N82" s="18"/>
      <c r="O82" s="18"/>
    </row>
    <row r="83" ht="15.75" customHeight="1">
      <c r="A83" s="20"/>
      <c r="B83" s="22"/>
      <c r="C83" s="95"/>
      <c r="D83" s="1"/>
      <c r="E83" s="95"/>
      <c r="F83" s="97"/>
      <c r="G83" s="32"/>
      <c r="H83" s="97"/>
      <c r="I83" s="32"/>
      <c r="J83" s="97"/>
      <c r="K83" s="97"/>
      <c r="L83" s="18"/>
      <c r="M83" s="18"/>
      <c r="N83" s="18"/>
      <c r="O83" s="18"/>
    </row>
    <row r="84" ht="15.75" customHeight="1">
      <c r="A84" s="20"/>
      <c r="B84" s="22"/>
      <c r="C84" s="97"/>
      <c r="D84" s="99"/>
      <c r="E84" s="97"/>
      <c r="F84" s="97"/>
      <c r="G84" s="97"/>
      <c r="H84" s="97"/>
      <c r="I84" s="32"/>
      <c r="J84" s="97"/>
      <c r="K84" s="97"/>
      <c r="L84" s="18"/>
      <c r="M84" s="18"/>
      <c r="N84" s="18"/>
      <c r="O84" s="18"/>
    </row>
    <row r="85" ht="15.75" customHeight="1">
      <c r="A85" s="52"/>
      <c r="B85" s="53" t="s">
        <v>11</v>
      </c>
      <c r="C85" s="59" t="s">
        <v>74</v>
      </c>
      <c r="D85" s="100"/>
      <c r="E85" s="58"/>
      <c r="F85" s="58"/>
      <c r="G85" s="59"/>
      <c r="H85" s="59" t="s">
        <v>111</v>
      </c>
      <c r="I85" s="101">
        <f>Sum(I76:I83) </f>
        <v>0</v>
      </c>
      <c r="J85" s="59"/>
      <c r="K85" s="59"/>
      <c r="L85" s="18"/>
      <c r="M85" s="18"/>
      <c r="N85" s="18"/>
      <c r="O85" s="18"/>
    </row>
    <row r="86" ht="15.75" customHeight="1">
      <c r="A86" s="102"/>
      <c r="B86" s="103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ht="15.75" customHeight="1">
      <c r="A87" s="18"/>
      <c r="B87" s="103"/>
      <c r="C87" s="18"/>
      <c r="D87" s="18"/>
      <c r="E87" s="18"/>
      <c r="F87" s="18"/>
      <c r="G87" s="38" t="s">
        <v>50</v>
      </c>
      <c r="H87" s="40"/>
      <c r="I87" s="18"/>
      <c r="J87" s="18"/>
      <c r="K87" s="18"/>
      <c r="L87" s="18"/>
      <c r="M87" s="18"/>
      <c r="N87" s="18"/>
      <c r="O87" s="18"/>
    </row>
    <row r="88" ht="15.75" customHeight="1">
      <c r="A88" s="18"/>
      <c r="B88" s="103"/>
      <c r="C88" s="18"/>
      <c r="D88" s="18"/>
      <c r="E88" s="18"/>
      <c r="F88" s="18"/>
      <c r="G88" s="20" t="s">
        <v>65</v>
      </c>
      <c r="H88" s="43"/>
      <c r="I88" s="18"/>
      <c r="J88" s="18"/>
      <c r="K88" s="18"/>
      <c r="L88" s="18"/>
      <c r="M88" s="18"/>
      <c r="N88" s="18"/>
      <c r="O88" s="18"/>
    </row>
    <row r="89" ht="15.75" customHeight="1">
      <c r="A89" s="18"/>
      <c r="B89" s="103"/>
      <c r="C89" s="18"/>
      <c r="D89" s="18"/>
      <c r="E89" s="18"/>
      <c r="F89" s="18"/>
      <c r="G89" s="46" t="s">
        <v>66</v>
      </c>
      <c r="H89" s="43"/>
      <c r="I89" s="18"/>
      <c r="J89" s="18"/>
      <c r="K89" s="18"/>
      <c r="L89" s="18"/>
      <c r="M89" s="18"/>
      <c r="N89" s="18"/>
      <c r="O89" s="18"/>
    </row>
    <row r="90" ht="15.75" customHeight="1">
      <c r="A90" s="18"/>
      <c r="B90" s="103"/>
      <c r="C90" s="18"/>
      <c r="D90" s="18"/>
      <c r="E90" s="18"/>
      <c r="F90" s="18"/>
      <c r="G90" s="20" t="s">
        <v>67</v>
      </c>
      <c r="H90" s="43"/>
      <c r="I90" s="18"/>
      <c r="J90" s="18"/>
      <c r="K90" s="18"/>
      <c r="L90" s="18"/>
      <c r="M90" s="18"/>
      <c r="N90" s="18"/>
      <c r="O90" s="18"/>
    </row>
    <row r="91" ht="15.75" customHeight="1">
      <c r="A91" s="18"/>
      <c r="B91" s="103"/>
      <c r="C91" s="18"/>
      <c r="D91" s="18"/>
      <c r="E91" s="18"/>
      <c r="F91" s="18"/>
      <c r="G91" s="20" t="s">
        <v>68</v>
      </c>
      <c r="H91" s="43"/>
      <c r="I91" s="18"/>
      <c r="J91" s="18"/>
      <c r="K91" s="18"/>
      <c r="L91" s="18"/>
      <c r="M91" s="18"/>
      <c r="N91" s="18"/>
      <c r="O91" s="18"/>
    </row>
    <row r="92" ht="15.75" customHeight="1">
      <c r="A92" s="18"/>
      <c r="B92" s="103"/>
      <c r="C92" s="18"/>
      <c r="D92" s="18"/>
      <c r="E92" s="18"/>
      <c r="F92" s="18"/>
      <c r="G92" s="20" t="s">
        <v>175</v>
      </c>
      <c r="H92" s="51">
        <f>Sum(I19,I36,I57,I75,I85)</f>
        <v>0</v>
      </c>
      <c r="I92" s="18"/>
      <c r="J92" s="18"/>
      <c r="K92" s="18"/>
      <c r="L92" s="18"/>
      <c r="M92" s="18"/>
      <c r="N92" s="18"/>
      <c r="O92" s="18"/>
    </row>
    <row r="93" ht="15.75" customHeight="1">
      <c r="A93" s="18"/>
      <c r="B93" s="103"/>
      <c r="C93" s="18"/>
      <c r="D93" s="18"/>
      <c r="E93" s="18"/>
      <c r="F93" s="18"/>
      <c r="G93" s="20" t="s">
        <v>183</v>
      </c>
      <c r="H93" s="43">
        <f>H92-H91</f>
        <v>0</v>
      </c>
      <c r="I93" s="18"/>
      <c r="J93" s="18"/>
      <c r="K93" s="18"/>
      <c r="L93" s="18"/>
      <c r="M93" s="18"/>
      <c r="N93" s="18"/>
      <c r="O93" s="18"/>
    </row>
    <row r="94" ht="15.75" customHeight="1">
      <c r="A94" s="18"/>
      <c r="B94" s="103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ht="15.75" customHeight="1">
      <c r="A95" s="18"/>
      <c r="B95" s="103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ht="15.75" customHeight="1">
      <c r="A96" s="18"/>
      <c r="B96" s="103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ht="15.75" customHeight="1">
      <c r="A97" s="18"/>
      <c r="B97" s="103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87:H87"/>
  </mergeCells>
  <hyperlinks>
    <hyperlink r:id="rId1" ref="D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6.13"/>
    <col customWidth="1" min="3" max="3" width="22.63"/>
    <col customWidth="1" min="4" max="4" width="18.63"/>
    <col customWidth="1" min="5" max="6" width="12.63"/>
  </cols>
  <sheetData>
    <row r="1" ht="15.75" customHeight="1">
      <c r="A1" s="2"/>
      <c r="B1" s="2" t="s">
        <v>7</v>
      </c>
      <c r="C1" s="2" t="s">
        <v>8</v>
      </c>
      <c r="D1" s="2" t="s">
        <v>9</v>
      </c>
    </row>
    <row r="2" ht="15.75" customHeight="1">
      <c r="A2" s="5"/>
      <c r="B2" s="6">
        <v>45841.0</v>
      </c>
      <c r="C2" s="5" t="s">
        <v>12</v>
      </c>
      <c r="D2" s="5">
        <f>862+400</f>
        <v>1262</v>
      </c>
    </row>
    <row r="3" ht="15.75" customHeight="1">
      <c r="A3" s="5"/>
      <c r="B3" s="6">
        <v>45842.0</v>
      </c>
      <c r="C3" s="5" t="s">
        <v>12</v>
      </c>
      <c r="D3" s="5">
        <f>600+400</f>
        <v>1000</v>
      </c>
    </row>
    <row r="4" ht="15.75" customHeight="1">
      <c r="A4" s="5"/>
      <c r="B4" s="6">
        <v>45842.0</v>
      </c>
      <c r="C4" s="5" t="s">
        <v>34</v>
      </c>
      <c r="D4" s="5">
        <v>700.0</v>
      </c>
    </row>
    <row r="5" ht="15.75" customHeight="1">
      <c r="A5" s="5"/>
      <c r="B5" s="5"/>
      <c r="C5" s="5"/>
      <c r="D5" s="5"/>
    </row>
    <row r="6" ht="15.75" customHeight="1">
      <c r="A6" s="5"/>
      <c r="B6" s="5"/>
      <c r="C6" s="5"/>
      <c r="D6" s="5"/>
    </row>
    <row r="7" ht="15.75" customHeight="1">
      <c r="A7" s="5"/>
      <c r="B7" s="5"/>
      <c r="C7" s="5"/>
      <c r="D7" s="5"/>
    </row>
    <row r="8" ht="15.75" customHeight="1">
      <c r="A8" s="5"/>
      <c r="B8" s="5"/>
      <c r="C8" s="5"/>
      <c r="D8" s="5"/>
    </row>
    <row r="9" ht="15.75" customHeight="1">
      <c r="A9" s="5"/>
      <c r="B9" s="5"/>
      <c r="C9" s="5"/>
      <c r="D9" s="5"/>
    </row>
    <row r="10" ht="15.75" customHeight="1">
      <c r="A10" s="5"/>
      <c r="B10" s="5"/>
      <c r="C10" s="5"/>
      <c r="D10" s="5"/>
    </row>
    <row r="11" ht="15.75" customHeight="1">
      <c r="A11" s="5"/>
      <c r="B11" s="5"/>
      <c r="C11" s="5"/>
      <c r="D11" s="5"/>
    </row>
    <row r="12" ht="15.75" customHeight="1">
      <c r="A12" s="5"/>
      <c r="B12" s="5"/>
      <c r="C12" s="5"/>
      <c r="D12" s="5"/>
    </row>
    <row r="13" ht="15.75" customHeight="1">
      <c r="A13" s="5"/>
      <c r="B13" s="5"/>
      <c r="C13" s="5"/>
      <c r="D13" s="5"/>
    </row>
    <row r="14" ht="15.75" customHeight="1">
      <c r="A14" s="5"/>
      <c r="B14" s="5"/>
      <c r="C14" s="5"/>
      <c r="D14" s="5"/>
    </row>
    <row r="15" ht="15.75" customHeight="1">
      <c r="A15" s="5"/>
      <c r="B15" s="5"/>
      <c r="C15" s="5"/>
      <c r="D15" s="5"/>
    </row>
    <row r="16" ht="15.75" customHeight="1">
      <c r="A16" s="5"/>
      <c r="B16" s="5"/>
      <c r="C16" s="5"/>
      <c r="D16" s="5"/>
    </row>
    <row r="17" ht="15.75" customHeight="1"/>
    <row r="18" ht="15.75" customHeight="1"/>
    <row r="19" ht="15.75" customHeight="1">
      <c r="D19" s="38" t="s">
        <v>50</v>
      </c>
      <c r="E19" s="40"/>
    </row>
    <row r="20" ht="15.75" customHeight="1">
      <c r="D20" s="20" t="s">
        <v>65</v>
      </c>
      <c r="E20" s="43"/>
    </row>
    <row r="21" ht="15.75" customHeight="1">
      <c r="D21" s="46" t="s">
        <v>66</v>
      </c>
      <c r="E21" s="43"/>
    </row>
    <row r="22" ht="15.75" customHeight="1">
      <c r="D22" s="20" t="s">
        <v>67</v>
      </c>
      <c r="E22" s="43"/>
    </row>
    <row r="23" ht="15.75" customHeight="1">
      <c r="D23" s="20" t="s">
        <v>68</v>
      </c>
      <c r="E23" s="43"/>
    </row>
    <row r="24" ht="15.75" customHeight="1">
      <c r="D24" s="20" t="s">
        <v>69</v>
      </c>
      <c r="E24" s="51"/>
    </row>
    <row r="25" ht="15.75" customHeight="1">
      <c r="D25" s="20"/>
      <c r="E25" s="3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9:E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50.75"/>
    <col customWidth="1" min="3" max="6" width="12.63"/>
  </cols>
  <sheetData>
    <row r="1" ht="15.75" customHeight="1">
      <c r="A1" s="104" t="s">
        <v>173</v>
      </c>
      <c r="B1" s="104" t="s">
        <v>177</v>
      </c>
    </row>
    <row r="2" ht="15.75" customHeight="1">
      <c r="A2" s="104" t="s">
        <v>178</v>
      </c>
      <c r="B2" s="105">
        <f>1458633-1000+72000-45000-92000-1000</f>
        <v>1391633</v>
      </c>
    </row>
    <row r="3" ht="15.75" customHeight="1">
      <c r="A3" s="104" t="s">
        <v>193</v>
      </c>
      <c r="B3" s="105">
        <f>142380-400</f>
        <v>141980</v>
      </c>
    </row>
    <row r="4" ht="15.75" customHeight="1">
      <c r="A4" s="104" t="s">
        <v>199</v>
      </c>
      <c r="B4" s="105">
        <f>173505+85000</f>
        <v>258505</v>
      </c>
    </row>
    <row r="5" ht="15.75" customHeight="1">
      <c r="A5" s="104" t="s">
        <v>203</v>
      </c>
      <c r="B5" s="105">
        <f>156914-27508-4506-40000</f>
        <v>84900</v>
      </c>
    </row>
    <row r="6" ht="15.75" customHeight="1">
      <c r="A6" s="104" t="s">
        <v>208</v>
      </c>
      <c r="B6" s="105">
        <f>13000+45000</f>
        <v>58000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A13" s="110" t="s">
        <v>217</v>
      </c>
      <c r="B13" s="112">
        <f>sum(B2:B6)</f>
        <v>1935018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B37" s="64">
        <f>773494+614609</f>
        <v>1388103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